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llk\Claude Code ZHAW\cen-risk-analyzer\data\"/>
    </mc:Choice>
  </mc:AlternateContent>
  <xr:revisionPtr revIDLastSave="0" documentId="13_ncr:1_{41ADE6D2-1771-4B3E-ACB4-F06678DDDAC5}" xr6:coauthVersionLast="47" xr6:coauthVersionMax="47" xr10:uidLastSave="{00000000-0000-0000-0000-000000000000}"/>
  <bookViews>
    <workbookView xWindow="-19310" yWindow="4570" windowWidth="19420" windowHeight="10300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1" i="1" l="1"/>
  <c r="B170" i="1"/>
  <c r="B169" i="1"/>
  <c r="B157" i="1"/>
  <c r="B156" i="1"/>
  <c r="B155" i="1"/>
  <c r="B154" i="1"/>
  <c r="B153" i="1"/>
  <c r="B128" i="1"/>
  <c r="B127" i="1"/>
  <c r="B105" i="1"/>
  <c r="B104" i="1"/>
  <c r="B103" i="1"/>
  <c r="B102" i="1"/>
  <c r="B118" i="1"/>
  <c r="B117" i="1"/>
  <c r="B116" i="1"/>
  <c r="B115" i="1"/>
  <c r="B114" i="1"/>
  <c r="B96" i="1"/>
  <c r="B95" i="1"/>
  <c r="B94" i="1"/>
  <c r="B79" i="1"/>
  <c r="B78" i="1"/>
  <c r="B77" i="1"/>
  <c r="B56" i="1"/>
  <c r="B55" i="1"/>
  <c r="B54" i="1"/>
  <c r="B33" i="1"/>
  <c r="B32" i="1"/>
  <c r="B31" i="1"/>
  <c r="B30" i="1"/>
  <c r="B36" i="1"/>
  <c r="B168" i="1"/>
  <c r="B167" i="1"/>
  <c r="B166" i="1"/>
  <c r="B165" i="1"/>
  <c r="B164" i="1"/>
  <c r="B163" i="1"/>
  <c r="B162" i="1"/>
  <c r="B161" i="1"/>
  <c r="B160" i="1"/>
  <c r="B159" i="1"/>
  <c r="B158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5" i="1"/>
  <c r="B134" i="1"/>
  <c r="B133" i="1"/>
  <c r="B132" i="1"/>
  <c r="B131" i="1"/>
  <c r="B130" i="1"/>
  <c r="B129" i="1"/>
  <c r="B126" i="1"/>
  <c r="B125" i="1"/>
  <c r="B124" i="1"/>
  <c r="B123" i="1"/>
  <c r="B122" i="1"/>
  <c r="B121" i="1"/>
  <c r="B120" i="1"/>
  <c r="B119" i="1"/>
  <c r="B112" i="1"/>
  <c r="B111" i="1"/>
  <c r="B110" i="1"/>
  <c r="B109" i="1"/>
  <c r="B108" i="1"/>
  <c r="B107" i="1"/>
  <c r="B106" i="1"/>
  <c r="B101" i="1"/>
  <c r="B100" i="1"/>
  <c r="B99" i="1"/>
  <c r="B98" i="1"/>
  <c r="B97" i="1"/>
  <c r="B87" i="1"/>
  <c r="B86" i="1"/>
  <c r="B85" i="1"/>
  <c r="B84" i="1"/>
  <c r="B83" i="1"/>
  <c r="B82" i="1"/>
  <c r="B81" i="1"/>
  <c r="B80" i="1"/>
  <c r="B76" i="1"/>
  <c r="B75" i="1"/>
  <c r="B74" i="1"/>
  <c r="B73" i="1"/>
  <c r="B72" i="1"/>
  <c r="B65" i="1"/>
  <c r="B64" i="1"/>
  <c r="B63" i="1"/>
  <c r="B62" i="1"/>
  <c r="B61" i="1"/>
  <c r="B60" i="1"/>
  <c r="B59" i="1"/>
  <c r="B58" i="1"/>
  <c r="B57" i="1"/>
  <c r="B53" i="1"/>
  <c r="B52" i="1"/>
  <c r="B51" i="1"/>
  <c r="B50" i="1"/>
  <c r="B45" i="1"/>
  <c r="B44" i="1"/>
  <c r="B43" i="1"/>
  <c r="B42" i="1"/>
  <c r="B41" i="1"/>
  <c r="B40" i="1"/>
  <c r="B39" i="1"/>
  <c r="B38" i="1"/>
  <c r="B37" i="1"/>
  <c r="B35" i="1"/>
  <c r="B34" i="1"/>
  <c r="B29" i="1"/>
  <c r="B28" i="1"/>
  <c r="B21" i="1"/>
  <c r="B20" i="1"/>
  <c r="B19" i="1"/>
  <c r="B12" i="1"/>
  <c r="B11" i="1"/>
  <c r="B10" i="1"/>
  <c r="B9" i="1"/>
  <c r="B5" i="1"/>
  <c r="B4" i="1"/>
  <c r="B3" i="1"/>
  <c r="B173" i="1"/>
  <c r="B172" i="1"/>
  <c r="B139" i="1"/>
  <c r="B138" i="1"/>
  <c r="B137" i="1"/>
  <c r="B136" i="1"/>
  <c r="B113" i="1"/>
  <c r="B93" i="1"/>
  <c r="B92" i="1"/>
  <c r="B91" i="1"/>
  <c r="B90" i="1"/>
  <c r="B89" i="1"/>
  <c r="B88" i="1"/>
  <c r="B71" i="1"/>
  <c r="B70" i="1"/>
  <c r="B69" i="1"/>
  <c r="B68" i="1"/>
  <c r="B67" i="1"/>
  <c r="B66" i="1"/>
  <c r="B49" i="1"/>
  <c r="B48" i="1"/>
  <c r="B47" i="1"/>
  <c r="B46" i="1"/>
  <c r="B27" i="1"/>
  <c r="B26" i="1"/>
  <c r="B25" i="1"/>
  <c r="B24" i="1"/>
  <c r="B23" i="1"/>
  <c r="B22" i="1"/>
  <c r="B18" i="1"/>
  <c r="B17" i="1"/>
  <c r="B16" i="1"/>
  <c r="B15" i="1"/>
  <c r="B14" i="1"/>
  <c r="B13" i="1"/>
  <c r="B8" i="1"/>
  <c r="B7" i="1"/>
  <c r="B6" i="1"/>
  <c r="B2" i="1"/>
</calcChain>
</file>

<file path=xl/sharedStrings.xml><?xml version="1.0" encoding="utf-8"?>
<sst xmlns="http://schemas.openxmlformats.org/spreadsheetml/2006/main" count="2527" uniqueCount="629">
  <si>
    <t>IOL#</t>
  </si>
  <si>
    <t>Risk Counterparty</t>
  </si>
  <si>
    <t>Risk Country</t>
  </si>
  <si>
    <t>Risk Type (Category)</t>
  </si>
  <si>
    <t>Effective Date</t>
  </si>
  <si>
    <t>Expiry Date</t>
  </si>
  <si>
    <t>Ethiopia</t>
  </si>
  <si>
    <t>PR</t>
  </si>
  <si>
    <t>Burundi</t>
  </si>
  <si>
    <t>Kenya</t>
  </si>
  <si>
    <t>Uganda</t>
  </si>
  <si>
    <t>Gabon</t>
  </si>
  <si>
    <t>DRC</t>
  </si>
  <si>
    <t>Madagascar</t>
  </si>
  <si>
    <t>Exposure (USD)</t>
  </si>
  <si>
    <t>Ivory Coast</t>
  </si>
  <si>
    <t>POL4837</t>
  </si>
  <si>
    <t>POL0194</t>
  </si>
  <si>
    <t>POL7752</t>
  </si>
  <si>
    <t>POL3028</t>
  </si>
  <si>
    <t>POL6641</t>
  </si>
  <si>
    <t>POL1289</t>
  </si>
  <si>
    <t>POL5503</t>
  </si>
  <si>
    <t>POL9476</t>
  </si>
  <si>
    <t>POL2310</t>
  </si>
  <si>
    <t>POL8042</t>
  </si>
  <si>
    <t>POL3927</t>
  </si>
  <si>
    <t>POL6158</t>
  </si>
  <si>
    <t>POL0743</t>
  </si>
  <si>
    <t>POL2685</t>
  </si>
  <si>
    <t>POL9901</t>
  </si>
  <si>
    <t>POL3348</t>
  </si>
  <si>
    <t>POL9562</t>
  </si>
  <si>
    <t>POL1187</t>
  </si>
  <si>
    <t>POL6409</t>
  </si>
  <si>
    <t>POL2734</t>
  </si>
  <si>
    <t>POL8016</t>
  </si>
  <si>
    <t>POL4925</t>
  </si>
  <si>
    <t>POL1678</t>
  </si>
  <si>
    <t>POL7302</t>
  </si>
  <si>
    <t>POL2841</t>
  </si>
  <si>
    <t>POL6197</t>
  </si>
  <si>
    <t>POL9024</t>
  </si>
  <si>
    <t>POL3586</t>
  </si>
  <si>
    <t>POL7440</t>
  </si>
  <si>
    <t>POL0118</t>
  </si>
  <si>
    <t>POL4126</t>
  </si>
  <si>
    <t>POL2750</t>
  </si>
  <si>
    <t>POL9348</t>
  </si>
  <si>
    <t>POL5069</t>
  </si>
  <si>
    <t>POL1280</t>
  </si>
  <si>
    <t>POL2749</t>
  </si>
  <si>
    <t>POL8527</t>
  </si>
  <si>
    <t>POL4631</t>
  </si>
  <si>
    <t>POL7208</t>
  </si>
  <si>
    <t>POL1345</t>
  </si>
  <si>
    <t>POL9076</t>
  </si>
  <si>
    <t>POL3882</t>
  </si>
  <si>
    <t>POL6150</t>
  </si>
  <si>
    <t>POL2740</t>
  </si>
  <si>
    <t>POL5698</t>
  </si>
  <si>
    <t>POL9904</t>
  </si>
  <si>
    <t>POL7035</t>
  </si>
  <si>
    <t>POL1863</t>
  </si>
  <si>
    <t>POL8420</t>
  </si>
  <si>
    <t>POL3577</t>
  </si>
  <si>
    <t>POL4689</t>
  </si>
  <si>
    <t>POL6214</t>
  </si>
  <si>
    <t>POL0958</t>
  </si>
  <si>
    <t>POL7341</t>
  </si>
  <si>
    <t>POL2859</t>
  </si>
  <si>
    <t>POL5166</t>
  </si>
  <si>
    <t>POL8031</t>
  </si>
  <si>
    <t>POL6497</t>
  </si>
  <si>
    <t>POL4120</t>
  </si>
  <si>
    <t>POL9702</t>
  </si>
  <si>
    <t>POL2586</t>
  </si>
  <si>
    <t>POL7310</t>
  </si>
  <si>
    <t>POL5402</t>
  </si>
  <si>
    <t>POL8691</t>
  </si>
  <si>
    <t>POL3147</t>
  </si>
  <si>
    <t>POL6028</t>
  </si>
  <si>
    <t>POL4251</t>
  </si>
  <si>
    <t>POL6902</t>
  </si>
  <si>
    <t>POL1746</t>
  </si>
  <si>
    <t>POL8330</t>
  </si>
  <si>
    <t>POL2991</t>
  </si>
  <si>
    <t>POL7027</t>
  </si>
  <si>
    <t>POL5189</t>
  </si>
  <si>
    <t>POL9645</t>
  </si>
  <si>
    <t>POL2413</t>
  </si>
  <si>
    <t>POL6879</t>
  </si>
  <si>
    <t>POL3564</t>
  </si>
  <si>
    <t>POL8912</t>
  </si>
  <si>
    <t>POL4706</t>
  </si>
  <si>
    <t>POL6248</t>
  </si>
  <si>
    <t>POL1502</t>
  </si>
  <si>
    <t>POL9088</t>
  </si>
  <si>
    <t>POL2140</t>
  </si>
  <si>
    <t>POL9834</t>
  </si>
  <si>
    <t>POL5720</t>
  </si>
  <si>
    <t>POL3468</t>
  </si>
  <si>
    <t>POL7615</t>
  </si>
  <si>
    <t>POL2084</t>
  </si>
  <si>
    <t>POL6942</t>
  </si>
  <si>
    <t>POL8306</t>
  </si>
  <si>
    <t>POL4175</t>
  </si>
  <si>
    <t>POL2590</t>
  </si>
  <si>
    <t>POL9751</t>
  </si>
  <si>
    <t>POL5037</t>
  </si>
  <si>
    <t>POL6428</t>
  </si>
  <si>
    <t>POL1180</t>
  </si>
  <si>
    <t>POL8842</t>
  </si>
  <si>
    <t>POL3219</t>
  </si>
  <si>
    <t>POL7504</t>
  </si>
  <si>
    <t>POL4690</t>
  </si>
  <si>
    <t>POL6053</t>
  </si>
  <si>
    <t xml:space="preserve">Kenya  </t>
  </si>
  <si>
    <t xml:space="preserve">Poland  </t>
  </si>
  <si>
    <t xml:space="preserve">Romania  </t>
  </si>
  <si>
    <t xml:space="preserve">Ghana  </t>
  </si>
  <si>
    <t xml:space="preserve">Serbia  </t>
  </si>
  <si>
    <t xml:space="preserve">Morocco  </t>
  </si>
  <si>
    <t xml:space="preserve">Tunisia  </t>
  </si>
  <si>
    <t xml:space="preserve">Hungary  </t>
  </si>
  <si>
    <t xml:space="preserve">Bulgaria  </t>
  </si>
  <si>
    <t xml:space="preserve">Nigeria  </t>
  </si>
  <si>
    <t xml:space="preserve">Ethiopia  </t>
  </si>
  <si>
    <t xml:space="preserve">Czechia  </t>
  </si>
  <si>
    <t xml:space="preserve">Slovakia  </t>
  </si>
  <si>
    <t xml:space="preserve">Tanzania  </t>
  </si>
  <si>
    <t xml:space="preserve">Uganda  </t>
  </si>
  <si>
    <t xml:space="preserve">Croatia  </t>
  </si>
  <si>
    <t xml:space="preserve">Albania  </t>
  </si>
  <si>
    <t xml:space="preserve">Zambia  </t>
  </si>
  <si>
    <t xml:space="preserve">Zimbabwe  </t>
  </si>
  <si>
    <t xml:space="preserve">Bosnia and Herzegovina  </t>
  </si>
  <si>
    <t xml:space="preserve">North Macedonia  </t>
  </si>
  <si>
    <t xml:space="preserve">Senegal  </t>
  </si>
  <si>
    <t xml:space="preserve">Ivory Coast  </t>
  </si>
  <si>
    <t xml:space="preserve">Lithuania  </t>
  </si>
  <si>
    <t xml:space="preserve">Latvia  </t>
  </si>
  <si>
    <t xml:space="preserve">Estonia  </t>
  </si>
  <si>
    <t xml:space="preserve">Kosovo  </t>
  </si>
  <si>
    <t xml:space="preserve">Montenegro  </t>
  </si>
  <si>
    <t xml:space="preserve">Moldova  </t>
  </si>
  <si>
    <t xml:space="preserve">Georgia  </t>
  </si>
  <si>
    <t xml:space="preserve">Armenia  </t>
  </si>
  <si>
    <t xml:space="preserve">Azerbaijan  </t>
  </si>
  <si>
    <t xml:space="preserve">Egypt  </t>
  </si>
  <si>
    <t xml:space="preserve">Algeria  </t>
  </si>
  <si>
    <t xml:space="preserve">South Africa  </t>
  </si>
  <si>
    <t xml:space="preserve">Namibia  </t>
  </si>
  <si>
    <t xml:space="preserve">Botswana  </t>
  </si>
  <si>
    <t xml:space="preserve">Angola  </t>
  </si>
  <si>
    <t xml:space="preserve">Mozambique  </t>
  </si>
  <si>
    <t xml:space="preserve">Madagascar  </t>
  </si>
  <si>
    <t xml:space="preserve">Cameroon  </t>
  </si>
  <si>
    <t xml:space="preserve">Rwanda  </t>
  </si>
  <si>
    <t xml:space="preserve">Burundi  </t>
  </si>
  <si>
    <t xml:space="preserve">Malawi  </t>
  </si>
  <si>
    <t xml:space="preserve">Somalia  </t>
  </si>
  <si>
    <t xml:space="preserve">Djibouti  </t>
  </si>
  <si>
    <t xml:space="preserve">Eritrea  </t>
  </si>
  <si>
    <t xml:space="preserve">Sudan  </t>
  </si>
  <si>
    <t xml:space="preserve">South Sudan  </t>
  </si>
  <si>
    <t xml:space="preserve">Chad  </t>
  </si>
  <si>
    <t xml:space="preserve">Niger  </t>
  </si>
  <si>
    <t xml:space="preserve">Mali  </t>
  </si>
  <si>
    <t xml:space="preserve">Burkina Faso  </t>
  </si>
  <si>
    <t xml:space="preserve">Gambia  </t>
  </si>
  <si>
    <t xml:space="preserve">Guinea  </t>
  </si>
  <si>
    <t xml:space="preserve">Sierra Leone  </t>
  </si>
  <si>
    <t xml:space="preserve">Liberia  </t>
  </si>
  <si>
    <t xml:space="preserve">Togo  </t>
  </si>
  <si>
    <t xml:space="preserve">Benin  </t>
  </si>
  <si>
    <t xml:space="preserve">Gabon  </t>
  </si>
  <si>
    <t xml:space="preserve">Congo  </t>
  </si>
  <si>
    <t xml:space="preserve">DR Congo  </t>
  </si>
  <si>
    <t xml:space="preserve">Central African Republic  </t>
  </si>
  <si>
    <t xml:space="preserve">Equatorial Guinea  </t>
  </si>
  <si>
    <t xml:space="preserve">São Tomé and Príncipe  </t>
  </si>
  <si>
    <t xml:space="preserve">Cape Verde  </t>
  </si>
  <si>
    <t xml:space="preserve">Mauritania  </t>
  </si>
  <si>
    <t xml:space="preserve">Seychelles  </t>
  </si>
  <si>
    <t xml:space="preserve">Comoros  </t>
  </si>
  <si>
    <t xml:space="preserve">Mauritius  </t>
  </si>
  <si>
    <t xml:space="preserve">Lesotho  </t>
  </si>
  <si>
    <t xml:space="preserve">Eswatini  </t>
  </si>
  <si>
    <t xml:space="preserve">Brazil  </t>
  </si>
  <si>
    <t xml:space="preserve">Mexico  </t>
  </si>
  <si>
    <t xml:space="preserve">Argentina  </t>
  </si>
  <si>
    <t xml:space="preserve">Colombia  </t>
  </si>
  <si>
    <t xml:space="preserve">Peru  </t>
  </si>
  <si>
    <t xml:space="preserve">India  </t>
  </si>
  <si>
    <t xml:space="preserve">China  </t>
  </si>
  <si>
    <t xml:space="preserve">Indonesia  </t>
  </si>
  <si>
    <t xml:space="preserve">Thailand  </t>
  </si>
  <si>
    <t xml:space="preserve">Vietnam  </t>
  </si>
  <si>
    <t xml:space="preserve">Telecom Vietnam  </t>
  </si>
  <si>
    <t>POL9905</t>
  </si>
  <si>
    <t>Government of Ivory Coast</t>
  </si>
  <si>
    <t>Bangladesh</t>
  </si>
  <si>
    <t>POL9906</t>
  </si>
  <si>
    <t xml:space="preserve">Government of Madagascar  </t>
  </si>
  <si>
    <t>Vietnam</t>
  </si>
  <si>
    <t>Hungary</t>
  </si>
  <si>
    <t>Slovenia</t>
  </si>
  <si>
    <t>Israel</t>
  </si>
  <si>
    <t>POL9907</t>
  </si>
  <si>
    <t xml:space="preserve">Government of Morocco  </t>
  </si>
  <si>
    <t>Bermuda</t>
  </si>
  <si>
    <t>POL9908</t>
  </si>
  <si>
    <t xml:space="preserve">Telecom Egypt  </t>
  </si>
  <si>
    <t>Papua New Guinea</t>
  </si>
  <si>
    <t>POL9909</t>
  </si>
  <si>
    <t xml:space="preserve">Government of Cameroon  </t>
  </si>
  <si>
    <t>Luxembourg</t>
  </si>
  <si>
    <t>POL9910</t>
  </si>
  <si>
    <t xml:space="preserve">Utility of Albania  </t>
  </si>
  <si>
    <t>Iraq</t>
  </si>
  <si>
    <t>POL9911</t>
  </si>
  <si>
    <t xml:space="preserve">Government of Uganda  </t>
  </si>
  <si>
    <t>Liechtenstein</t>
  </si>
  <si>
    <t>POL9912</t>
  </si>
  <si>
    <t xml:space="preserve">Government of Hungary  </t>
  </si>
  <si>
    <t>Finland</t>
  </si>
  <si>
    <t>South Africa</t>
  </si>
  <si>
    <t>Bulgaria</t>
  </si>
  <si>
    <t>POL9913</t>
  </si>
  <si>
    <t xml:space="preserve">Government of Azerbaijan  </t>
  </si>
  <si>
    <t>POL9914</t>
  </si>
  <si>
    <t>Andorra</t>
  </si>
  <si>
    <t>POL9915</t>
  </si>
  <si>
    <t xml:space="preserve">Government of Estonia  </t>
  </si>
  <si>
    <t>Canada</t>
  </si>
  <si>
    <t>POL9916</t>
  </si>
  <si>
    <t xml:space="preserve">Utility of Botswana  </t>
  </si>
  <si>
    <t>POL9917</t>
  </si>
  <si>
    <t xml:space="preserve">Government of Kosovo  </t>
  </si>
  <si>
    <t>Czech Republic</t>
  </si>
  <si>
    <t>POL9918</t>
  </si>
  <si>
    <t xml:space="preserve">Utility of Ivory Coast  </t>
  </si>
  <si>
    <t>Belgium</t>
  </si>
  <si>
    <t>POL9919</t>
  </si>
  <si>
    <t xml:space="preserve">Telecom Tanzania  </t>
  </si>
  <si>
    <t>Turks and Caicos Islands</t>
  </si>
  <si>
    <t>POL9920</t>
  </si>
  <si>
    <t>Costa Rica</t>
  </si>
  <si>
    <t>POL9921</t>
  </si>
  <si>
    <t>POL9922</t>
  </si>
  <si>
    <t>Jersey</t>
  </si>
  <si>
    <t>POL9923</t>
  </si>
  <si>
    <t>Tajikistan</t>
  </si>
  <si>
    <t>POL9924</t>
  </si>
  <si>
    <t>Brazil</t>
  </si>
  <si>
    <t>Mozambique</t>
  </si>
  <si>
    <t>Botswana</t>
  </si>
  <si>
    <t>Bolivia</t>
  </si>
  <si>
    <t>Uzbekistan</t>
  </si>
  <si>
    <t>Zambia</t>
  </si>
  <si>
    <t>Guernsey</t>
  </si>
  <si>
    <t>POL9925</t>
  </si>
  <si>
    <t>Fiji</t>
  </si>
  <si>
    <t>Malta</t>
  </si>
  <si>
    <t>POL9926</t>
  </si>
  <si>
    <t xml:space="preserve">Utility of Namibia  </t>
  </si>
  <si>
    <t>South Korea</t>
  </si>
  <si>
    <t>POL9927</t>
  </si>
  <si>
    <t>Montserrat</t>
  </si>
  <si>
    <t>Philippines</t>
  </si>
  <si>
    <t>Benin</t>
  </si>
  <si>
    <t>POL9928</t>
  </si>
  <si>
    <t>Singapore</t>
  </si>
  <si>
    <t>POL9929</t>
  </si>
  <si>
    <t>Thailand</t>
  </si>
  <si>
    <t>POL9930</t>
  </si>
  <si>
    <t>Malaysia</t>
  </si>
  <si>
    <t>POL9931</t>
  </si>
  <si>
    <t xml:space="preserve">Telecom Czechia  </t>
  </si>
  <si>
    <t>POL9932</t>
  </si>
  <si>
    <t>POL9933</t>
  </si>
  <si>
    <t xml:space="preserve">Telecom Ethiopia  </t>
  </si>
  <si>
    <t>Nigeria</t>
  </si>
  <si>
    <t>POL9934</t>
  </si>
  <si>
    <t xml:space="preserve">Telecom Romania  </t>
  </si>
  <si>
    <t>Hong Kong</t>
  </si>
  <si>
    <t>POL9935</t>
  </si>
  <si>
    <t xml:space="preserve">Utility of Bosnia and Herzegovina  </t>
  </si>
  <si>
    <t>Spain</t>
  </si>
  <si>
    <t>POL9936</t>
  </si>
  <si>
    <t>Telecom Gabon</t>
  </si>
  <si>
    <t>Chile</t>
  </si>
  <si>
    <t>POL9937</t>
  </si>
  <si>
    <t>Telecom Uganda</t>
  </si>
  <si>
    <t>POL9938</t>
  </si>
  <si>
    <t>Saudi Arabia</t>
  </si>
  <si>
    <t>POL9939</t>
  </si>
  <si>
    <t xml:space="preserve">Government of North Macedonia  </t>
  </si>
  <si>
    <t>Togo</t>
  </si>
  <si>
    <t>POL9940</t>
  </si>
  <si>
    <t>Sweden</t>
  </si>
  <si>
    <t>POL9941</t>
  </si>
  <si>
    <t>POL9942</t>
  </si>
  <si>
    <t xml:space="preserve">Telecom Serbia  </t>
  </si>
  <si>
    <t>Romania</t>
  </si>
  <si>
    <t>Slovakia</t>
  </si>
  <si>
    <t>POL9943</t>
  </si>
  <si>
    <t xml:space="preserve">Government of Armenia  </t>
  </si>
  <si>
    <t>Senegal</t>
  </si>
  <si>
    <t>POL9944</t>
  </si>
  <si>
    <t>Guatemala</t>
  </si>
  <si>
    <t>Lebanon</t>
  </si>
  <si>
    <t>Republic of the Congo</t>
  </si>
  <si>
    <t>Nicaragua</t>
  </si>
  <si>
    <t>POL9945</t>
  </si>
  <si>
    <t>POL9946</t>
  </si>
  <si>
    <t xml:space="preserve">Government of Lithuania  </t>
  </si>
  <si>
    <t>POL9947</t>
  </si>
  <si>
    <t xml:space="preserve">Utility of Angola  </t>
  </si>
  <si>
    <t>Peru</t>
  </si>
  <si>
    <t>POL9948</t>
  </si>
  <si>
    <t xml:space="preserve">Government of Tunisia  </t>
  </si>
  <si>
    <t>Trinidad and Tobago</t>
  </si>
  <si>
    <t>POL9949</t>
  </si>
  <si>
    <t>POL9950</t>
  </si>
  <si>
    <t>POL9951</t>
  </si>
  <si>
    <t>United Kingdom</t>
  </si>
  <si>
    <t>POL9952</t>
  </si>
  <si>
    <t>POL9953</t>
  </si>
  <si>
    <t xml:space="preserve">Government of Moldova  </t>
  </si>
  <si>
    <t>POL9954</t>
  </si>
  <si>
    <t>Government of Madagascar</t>
  </si>
  <si>
    <t>Jamaica</t>
  </si>
  <si>
    <t>POL9955</t>
  </si>
  <si>
    <t xml:space="preserve">Government of South Africa  </t>
  </si>
  <si>
    <t>Côte d'Ivoire</t>
  </si>
  <si>
    <t>Australia</t>
  </si>
  <si>
    <t>Turkey</t>
  </si>
  <si>
    <t>Suriname</t>
  </si>
  <si>
    <t>Oman</t>
  </si>
  <si>
    <t>Bosnia and Herzegovina</t>
  </si>
  <si>
    <t>Kuwait</t>
  </si>
  <si>
    <t>Cyprus</t>
  </si>
  <si>
    <t>POL9956</t>
  </si>
  <si>
    <t>Mauritius</t>
  </si>
  <si>
    <t>POL9957</t>
  </si>
  <si>
    <t xml:space="preserve">Telecom Bulgaria  </t>
  </si>
  <si>
    <t>New Zealand</t>
  </si>
  <si>
    <t>Colombia</t>
  </si>
  <si>
    <t>Bahrain</t>
  </si>
  <si>
    <t>Lithuania</t>
  </si>
  <si>
    <t>POL9958</t>
  </si>
  <si>
    <t xml:space="preserve">Government of Georgia  </t>
  </si>
  <si>
    <t>POL9959</t>
  </si>
  <si>
    <t>Italy</t>
  </si>
  <si>
    <t>POL9960</t>
  </si>
  <si>
    <t>POL9961</t>
  </si>
  <si>
    <t>POL9962</t>
  </si>
  <si>
    <t>Pakistan</t>
  </si>
  <si>
    <t>North Macedonia</t>
  </si>
  <si>
    <t>Qatar</t>
  </si>
  <si>
    <t>Honduras</t>
  </si>
  <si>
    <t>Jordan</t>
  </si>
  <si>
    <t>POL9963</t>
  </si>
  <si>
    <t>POL9964</t>
  </si>
  <si>
    <t>Mongolia</t>
  </si>
  <si>
    <t>POL9965</t>
  </si>
  <si>
    <t>Germany</t>
  </si>
  <si>
    <t>POL9966</t>
  </si>
  <si>
    <t>Latvia</t>
  </si>
  <si>
    <t>POL9967</t>
  </si>
  <si>
    <t xml:space="preserve">Government of Croatia  </t>
  </si>
  <si>
    <t>POL9968</t>
  </si>
  <si>
    <t>Moldova</t>
  </si>
  <si>
    <t>POL9969</t>
  </si>
  <si>
    <t xml:space="preserve">Telecom Ghana  </t>
  </si>
  <si>
    <t>POL9970</t>
  </si>
  <si>
    <t>Government of Burundi</t>
  </si>
  <si>
    <t>Cook Islands</t>
  </si>
  <si>
    <t>POL9971</t>
  </si>
  <si>
    <t xml:space="preserve">Government of Latvia  </t>
  </si>
  <si>
    <t>Ghana</t>
  </si>
  <si>
    <t>POL9972</t>
  </si>
  <si>
    <t xml:space="preserve">Telecom Kenya  </t>
  </si>
  <si>
    <t>POL9973</t>
  </si>
  <si>
    <t>POL9974</t>
  </si>
  <si>
    <t>Portugal</t>
  </si>
  <si>
    <t>POL9975</t>
  </si>
  <si>
    <t>Montenegro</t>
  </si>
  <si>
    <t>POL9976</t>
  </si>
  <si>
    <t>Serbia</t>
  </si>
  <si>
    <t>POL9977</t>
  </si>
  <si>
    <t>POL9978</t>
  </si>
  <si>
    <t>POL9979</t>
  </si>
  <si>
    <t>POL9980</t>
  </si>
  <si>
    <t>POL9981</t>
  </si>
  <si>
    <t>POL9982</t>
  </si>
  <si>
    <t>POL9983</t>
  </si>
  <si>
    <t>POL9984</t>
  </si>
  <si>
    <t>POL9985</t>
  </si>
  <si>
    <t>POL9986</t>
  </si>
  <si>
    <t>POL9987</t>
  </si>
  <si>
    <t>POL9988</t>
  </si>
  <si>
    <t xml:space="preserve">Government of Montenegro  </t>
  </si>
  <si>
    <t>Barbados</t>
  </si>
  <si>
    <t>Ireland</t>
  </si>
  <si>
    <t>POL9989</t>
  </si>
  <si>
    <t>Government of Ethiopia</t>
  </si>
  <si>
    <t>POL9990</t>
  </si>
  <si>
    <t xml:space="preserve">Telecom Poland  </t>
  </si>
  <si>
    <t>POL9991</t>
  </si>
  <si>
    <t>Kazakhstan</t>
  </si>
  <si>
    <t>Sri Lanka</t>
  </si>
  <si>
    <t>San Marino</t>
  </si>
  <si>
    <t>Morocco</t>
  </si>
  <si>
    <t>Norway</t>
  </si>
  <si>
    <t>Cameroon</t>
  </si>
  <si>
    <t>POL9992</t>
  </si>
  <si>
    <t>POL9993</t>
  </si>
  <si>
    <t>POL9994</t>
  </si>
  <si>
    <t>Saint Helena</t>
  </si>
  <si>
    <t>POL9995</t>
  </si>
  <si>
    <t>POL9996</t>
  </si>
  <si>
    <t>El Salvador</t>
  </si>
  <si>
    <t>POL9997</t>
  </si>
  <si>
    <t>Ecuador</t>
  </si>
  <si>
    <t>POL9998</t>
  </si>
  <si>
    <t>POL9999</t>
  </si>
  <si>
    <t>POL10000</t>
  </si>
  <si>
    <t>POL10001</t>
  </si>
  <si>
    <t>Taiwan</t>
  </si>
  <si>
    <t>POL10002</t>
  </si>
  <si>
    <t>POL10003</t>
  </si>
  <si>
    <t xml:space="preserve">Telecom Nigeria  </t>
  </si>
  <si>
    <t>Austria</t>
  </si>
  <si>
    <t>POL10004</t>
  </si>
  <si>
    <t>POL10005</t>
  </si>
  <si>
    <t>Paraguay</t>
  </si>
  <si>
    <t>Burkina Faso</t>
  </si>
  <si>
    <t>POL10006</t>
  </si>
  <si>
    <t>POL10007</t>
  </si>
  <si>
    <t xml:space="preserve">Telecom Slovakia  </t>
  </si>
  <si>
    <t>POL10008</t>
  </si>
  <si>
    <t>POL10009</t>
  </si>
  <si>
    <t>POL10010</t>
  </si>
  <si>
    <t xml:space="preserve">Government of Mozambique  </t>
  </si>
  <si>
    <t>POL10011</t>
  </si>
  <si>
    <t>POL10012</t>
  </si>
  <si>
    <t>POL10013</t>
  </si>
  <si>
    <t>Rwanda</t>
  </si>
  <si>
    <t>POL10014</t>
  </si>
  <si>
    <t>Egypt</t>
  </si>
  <si>
    <t>POL10015</t>
  </si>
  <si>
    <t>Mexico</t>
  </si>
  <si>
    <t>POL10016</t>
  </si>
  <si>
    <t>POL10017</t>
  </si>
  <si>
    <t>POL10018</t>
  </si>
  <si>
    <t xml:space="preserve">Utility of Zimbabwe  </t>
  </si>
  <si>
    <t>Dominican Republic</t>
  </si>
  <si>
    <t>POL10019</t>
  </si>
  <si>
    <t>France</t>
  </si>
  <si>
    <t>POL10020</t>
  </si>
  <si>
    <t>POL10021</t>
  </si>
  <si>
    <t>POL10022</t>
  </si>
  <si>
    <t xml:space="preserve">Government of Senegal  </t>
  </si>
  <si>
    <t>POL10023</t>
  </si>
  <si>
    <t>POL10024</t>
  </si>
  <si>
    <t>POL10025</t>
  </si>
  <si>
    <t>POL10026</t>
  </si>
  <si>
    <t>POL10027</t>
  </si>
  <si>
    <t>Aruba</t>
  </si>
  <si>
    <t>Croatia</t>
  </si>
  <si>
    <t>POL10028</t>
  </si>
  <si>
    <t>POL10029</t>
  </si>
  <si>
    <t>POL10030</t>
  </si>
  <si>
    <t>POL10031</t>
  </si>
  <si>
    <t>POL10032</t>
  </si>
  <si>
    <t>POL10033</t>
  </si>
  <si>
    <t>Ukraine</t>
  </si>
  <si>
    <t>POL10034</t>
  </si>
  <si>
    <t>POL10035</t>
  </si>
  <si>
    <t>POL10036</t>
  </si>
  <si>
    <t>Japan</t>
  </si>
  <si>
    <t>POL10037</t>
  </si>
  <si>
    <t>POL10038</t>
  </si>
  <si>
    <t>POL10039</t>
  </si>
  <si>
    <t>POL10040</t>
  </si>
  <si>
    <t>POL10041</t>
  </si>
  <si>
    <t>POL10042</t>
  </si>
  <si>
    <t>Falkland Islands</t>
  </si>
  <si>
    <t>POL10043</t>
  </si>
  <si>
    <t>POL10044</t>
  </si>
  <si>
    <t>POL10045</t>
  </si>
  <si>
    <t>POL10046</t>
  </si>
  <si>
    <t>POL10047</t>
  </si>
  <si>
    <t>POL10048</t>
  </si>
  <si>
    <t>POL10049</t>
  </si>
  <si>
    <t>POL10050</t>
  </si>
  <si>
    <t>POL10051</t>
  </si>
  <si>
    <t>POL10052</t>
  </si>
  <si>
    <t>POL10053</t>
  </si>
  <si>
    <t>POL10054</t>
  </si>
  <si>
    <t>POL10055</t>
  </si>
  <si>
    <t>Government of DRC</t>
  </si>
  <si>
    <t>Cabo Verde</t>
  </si>
  <si>
    <t>Indonesia</t>
  </si>
  <si>
    <t>POL10056</t>
  </si>
  <si>
    <t>POL10057</t>
  </si>
  <si>
    <t>Argentina</t>
  </si>
  <si>
    <t>POL10058</t>
  </si>
  <si>
    <t>POL10059</t>
  </si>
  <si>
    <t>POL10060</t>
  </si>
  <si>
    <t>POL10061</t>
  </si>
  <si>
    <t>POL10062</t>
  </si>
  <si>
    <t>POL10063</t>
  </si>
  <si>
    <t>Netherlands</t>
  </si>
  <si>
    <t>POL10064</t>
  </si>
  <si>
    <t>POL10065</t>
  </si>
  <si>
    <t>POL10066</t>
  </si>
  <si>
    <t>United States</t>
  </si>
  <si>
    <t>POL10067</t>
  </si>
  <si>
    <t xml:space="preserve">Utility of Zambia  </t>
  </si>
  <si>
    <t>POL10068</t>
  </si>
  <si>
    <t>POL10069</t>
  </si>
  <si>
    <t>POL10070</t>
  </si>
  <si>
    <t>Switzerland</t>
  </si>
  <si>
    <t>POL10071</t>
  </si>
  <si>
    <t>POL10072</t>
  </si>
  <si>
    <t>POL10073</t>
  </si>
  <si>
    <t>POL10074</t>
  </si>
  <si>
    <t>POL10075</t>
  </si>
  <si>
    <t>POL10076</t>
  </si>
  <si>
    <t>POL10077</t>
  </si>
  <si>
    <t>POL10078</t>
  </si>
  <si>
    <t>POL10079</t>
  </si>
  <si>
    <t>Iceland</t>
  </si>
  <si>
    <t>POL10080</t>
  </si>
  <si>
    <t>POL10081</t>
  </si>
  <si>
    <t>POL10082</t>
  </si>
  <si>
    <t>POL10083</t>
  </si>
  <si>
    <t>Telecom Ethiopia</t>
  </si>
  <si>
    <t>Curaçao</t>
  </si>
  <si>
    <t>POL10084</t>
  </si>
  <si>
    <t>POL10085</t>
  </si>
  <si>
    <t>POL10086</t>
  </si>
  <si>
    <t>Georgia</t>
  </si>
  <si>
    <t>POL10087</t>
  </si>
  <si>
    <t>POL10088</t>
  </si>
  <si>
    <t>POL10089</t>
  </si>
  <si>
    <t>Greece</t>
  </si>
  <si>
    <t>POL10090</t>
  </si>
  <si>
    <t>Poland</t>
  </si>
  <si>
    <t>POL10091</t>
  </si>
  <si>
    <t>POL10092</t>
  </si>
  <si>
    <t>POL10093</t>
  </si>
  <si>
    <t>POL10094</t>
  </si>
  <si>
    <t>POL10095</t>
  </si>
  <si>
    <t>POL10096</t>
  </si>
  <si>
    <t>POL10097</t>
  </si>
  <si>
    <t>POL10098</t>
  </si>
  <si>
    <t>POL10099</t>
  </si>
  <si>
    <t>POL10100</t>
  </si>
  <si>
    <t>POL10101</t>
  </si>
  <si>
    <t>POL10102</t>
  </si>
  <si>
    <t>POL10103</t>
  </si>
  <si>
    <t>POL10104</t>
  </si>
  <si>
    <t>POL10105</t>
  </si>
  <si>
    <t>POL10106</t>
  </si>
  <si>
    <t>Government of Kenya</t>
  </si>
  <si>
    <t>POL10107</t>
  </si>
  <si>
    <t>POL10108</t>
  </si>
  <si>
    <t>POL10109</t>
  </si>
  <si>
    <t>Panama</t>
  </si>
  <si>
    <t>POL10110</t>
  </si>
  <si>
    <t>China</t>
  </si>
  <si>
    <t>POL10111</t>
  </si>
  <si>
    <t>POL10112</t>
  </si>
  <si>
    <t>POL10113</t>
  </si>
  <si>
    <t>POL10114</t>
  </si>
  <si>
    <t>POL10115</t>
  </si>
  <si>
    <t>POL10116</t>
  </si>
  <si>
    <t>POL10117</t>
  </si>
  <si>
    <t>POL10118</t>
  </si>
  <si>
    <t>POL10119</t>
  </si>
  <si>
    <t>POL10120</t>
  </si>
  <si>
    <t>POL10121</t>
  </si>
  <si>
    <t>POL10122</t>
  </si>
  <si>
    <t>POL10123</t>
  </si>
  <si>
    <t>Belize</t>
  </si>
  <si>
    <t>POL10124</t>
  </si>
  <si>
    <t>POL10125</t>
  </si>
  <si>
    <t>POL10126</t>
  </si>
  <si>
    <t>POL10127</t>
  </si>
  <si>
    <t>Estonia</t>
  </si>
  <si>
    <t>POL10128</t>
  </si>
  <si>
    <t>POL10129</t>
  </si>
  <si>
    <t>Denmark</t>
  </si>
  <si>
    <t>POL10130</t>
  </si>
  <si>
    <t>POL10131</t>
  </si>
  <si>
    <t>POL10132</t>
  </si>
  <si>
    <t>POL10133</t>
  </si>
  <si>
    <t>POL10134</t>
  </si>
  <si>
    <t>POL10135</t>
  </si>
  <si>
    <t>POL10136</t>
  </si>
  <si>
    <t>POL10137</t>
  </si>
  <si>
    <t>POL10138</t>
  </si>
  <si>
    <t>POL10139</t>
  </si>
  <si>
    <t>POL10140</t>
  </si>
  <si>
    <t>POL10141</t>
  </si>
  <si>
    <t>POL10142</t>
  </si>
  <si>
    <t>POL10143</t>
  </si>
  <si>
    <t>POL10144</t>
  </si>
  <si>
    <t>POL10145</t>
  </si>
  <si>
    <t>POL10146</t>
  </si>
  <si>
    <t>POL10147</t>
  </si>
  <si>
    <t>POL10148</t>
  </si>
  <si>
    <t>POL10149</t>
  </si>
  <si>
    <t>POL10150</t>
  </si>
  <si>
    <t>POL10151</t>
  </si>
  <si>
    <t>POL10152</t>
  </si>
  <si>
    <t>POL10153</t>
  </si>
  <si>
    <t>POL10154</t>
  </si>
  <si>
    <t>POL10155</t>
  </si>
  <si>
    <t>POL10156</t>
  </si>
  <si>
    <t>POL10157</t>
  </si>
  <si>
    <t>POL10158</t>
  </si>
  <si>
    <t>POL10159</t>
  </si>
  <si>
    <t>POL10160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</si>
</sst>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C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7">
    <xf numFmtId="0" fontId="0" fillId="0" borderId="0" xfId="0"/>
    <xf numFmtId="0" fontId="0" fillId="3" borderId="1" xfId="0" applyFill="1" applyBorder="1"/>
    <xf numFmtId="43" fontId="2" fillId="3" borderId="1" xfId="1" applyFont="1" applyFill="1" applyBorder="1" applyAlignment="1"/>
    <xf numFmtId="0" fontId="4" fillId="2" borderId="2" xfId="2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0" fontId="0" fillId="4" borderId="1" xfId="0" applyFill="1" applyBorder="1"/>
  </cellXfs>
  <cellStyles count="3">
    <cellStyle name="Comma" xfId="1" builtinId="3"/>
    <cellStyle name="Normal" xfId="0" builtinId="0"/>
    <cellStyle name="Normal 2" xfId="2" xr:uid="{5F4F5727-1BB7-4189-A7ED-8FEA750587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674"/>
  <sheetViews>
    <sheetView tabSelected="1" topLeftCell="A148" zoomScale="55" zoomScaleNormal="55" workbookViewId="0">
      <selection activeCell="J161" sqref="J161"/>
    </sheetView>
  </sheetViews>
  <sheetFormatPr defaultRowHeight="14.25" x14ac:dyDescent="0.45"/>
  <cols>
    <col min="1" max="1" width="24.86328125" customWidth="1"/>
    <col min="2" max="2" width="54.265625" customWidth="1"/>
    <col min="3" max="3" width="23.1328125" customWidth="1"/>
    <col min="4" max="4" width="19.265625" customWidth="1"/>
    <col min="5" max="5" width="18.265625" customWidth="1"/>
    <col min="6" max="6" width="16.73046875" customWidth="1"/>
    <col min="7" max="7" width="29.1328125" customWidth="1"/>
  </cols>
  <sheetData>
    <row r="1" spans="1:7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14</v>
      </c>
    </row>
    <row r="2" spans="1:7" x14ac:dyDescent="0.45">
      <c r="A2" s="1" t="s">
        <v>16</v>
      </c>
      <c r="B2" s="1" t="str">
        <f>"Telecom "&amp;C2</f>
        <v>Telecom Ethiopia</v>
      </c>
      <c r="C2" s="1" t="s">
        <v>6</v>
      </c>
      <c r="D2" s="1" t="s">
        <v>7</v>
      </c>
      <c r="E2" s="4">
        <v>44019</v>
      </c>
      <c r="F2" s="4">
        <v>46963</v>
      </c>
      <c r="G2" s="2">
        <v>284736592</v>
      </c>
    </row>
    <row r="3" spans="1:7" x14ac:dyDescent="0.45">
      <c r="A3" s="1" t="s">
        <v>17</v>
      </c>
      <c r="B3" s="1" t="str">
        <f>"Government of "&amp;C3</f>
        <v>Government of Ethiopia</v>
      </c>
      <c r="C3" s="1" t="s">
        <v>6</v>
      </c>
      <c r="D3" s="1" t="s">
        <v>7</v>
      </c>
      <c r="E3" s="4">
        <v>44019</v>
      </c>
      <c r="F3" s="4">
        <v>48021</v>
      </c>
      <c r="G3" s="2">
        <v>150483920</v>
      </c>
    </row>
    <row r="4" spans="1:7" x14ac:dyDescent="0.45">
      <c r="A4" s="1" t="s">
        <v>18</v>
      </c>
      <c r="B4" s="1" t="str">
        <f t="shared" ref="B4:B5" si="0">"Government of "&amp;C4</f>
        <v>Government of Burundi</v>
      </c>
      <c r="C4" s="1" t="s">
        <v>8</v>
      </c>
      <c r="D4" s="1" t="s">
        <v>7</v>
      </c>
      <c r="E4" s="4">
        <v>44019</v>
      </c>
      <c r="F4" s="4">
        <v>48955</v>
      </c>
      <c r="G4" s="2">
        <v>98765432</v>
      </c>
    </row>
    <row r="5" spans="1:7" x14ac:dyDescent="0.45">
      <c r="A5" s="1" t="s">
        <v>19</v>
      </c>
      <c r="B5" s="1" t="str">
        <f t="shared" si="0"/>
        <v>Government of Kenya</v>
      </c>
      <c r="C5" s="1" t="s">
        <v>9</v>
      </c>
      <c r="D5" s="1" t="s">
        <v>7</v>
      </c>
      <c r="E5" s="4">
        <v>45347</v>
      </c>
      <c r="F5" s="4">
        <v>48347</v>
      </c>
      <c r="G5" s="2">
        <v>276543890</v>
      </c>
    </row>
    <row r="6" spans="1:7" x14ac:dyDescent="0.45">
      <c r="A6" s="1" t="s">
        <v>20</v>
      </c>
      <c r="B6" s="1" t="str">
        <f t="shared" ref="B6:B8" si="1">"Telecom "&amp;C6</f>
        <v>Telecom Uganda</v>
      </c>
      <c r="C6" s="1" t="s">
        <v>10</v>
      </c>
      <c r="D6" s="1" t="s">
        <v>7</v>
      </c>
      <c r="E6" s="4">
        <v>45794</v>
      </c>
      <c r="F6" s="4">
        <v>49112</v>
      </c>
      <c r="G6" s="2">
        <v>50483920</v>
      </c>
    </row>
    <row r="7" spans="1:7" x14ac:dyDescent="0.45">
      <c r="A7" s="1" t="s">
        <v>21</v>
      </c>
      <c r="B7" s="1" t="str">
        <f t="shared" si="1"/>
        <v>Telecom Uganda</v>
      </c>
      <c r="C7" s="1" t="s">
        <v>10</v>
      </c>
      <c r="D7" s="1" t="s">
        <v>7</v>
      </c>
      <c r="E7" s="4">
        <v>44478</v>
      </c>
      <c r="F7" s="4">
        <v>47177</v>
      </c>
      <c r="G7" s="2">
        <v>198765432</v>
      </c>
    </row>
    <row r="8" spans="1:7" x14ac:dyDescent="0.45">
      <c r="A8" s="1" t="s">
        <v>22</v>
      </c>
      <c r="B8" s="1" t="str">
        <f t="shared" si="1"/>
        <v>Telecom Gabon</v>
      </c>
      <c r="C8" s="1" t="s">
        <v>11</v>
      </c>
      <c r="D8" s="1" t="s">
        <v>7</v>
      </c>
      <c r="E8" s="4">
        <v>44536</v>
      </c>
      <c r="F8" s="4">
        <v>48137</v>
      </c>
      <c r="G8" s="2">
        <v>75049283</v>
      </c>
    </row>
    <row r="9" spans="1:7" x14ac:dyDescent="0.45">
      <c r="A9" s="1" t="s">
        <v>23</v>
      </c>
      <c r="B9" s="1" t="str">
        <f t="shared" ref="B9:B12" si="2">"Government of "&amp;C9</f>
        <v>Government of Ivory Coast</v>
      </c>
      <c r="C9" s="1" t="s">
        <v>15</v>
      </c>
      <c r="D9" s="1" t="s">
        <v>7</v>
      </c>
      <c r="E9" s="4">
        <v>45037</v>
      </c>
      <c r="F9" s="4">
        <v>48456</v>
      </c>
      <c r="G9" s="2">
        <v>299845672</v>
      </c>
    </row>
    <row r="10" spans="1:7" x14ac:dyDescent="0.45">
      <c r="A10" s="1" t="s">
        <v>24</v>
      </c>
      <c r="B10" s="1" t="str">
        <f t="shared" si="2"/>
        <v>Government of DRC</v>
      </c>
      <c r="C10" s="1" t="s">
        <v>12</v>
      </c>
      <c r="D10" s="1" t="s">
        <v>7</v>
      </c>
      <c r="E10" s="4">
        <v>44135</v>
      </c>
      <c r="F10" s="4">
        <v>46448</v>
      </c>
      <c r="G10" s="2">
        <v>183920475</v>
      </c>
    </row>
    <row r="11" spans="1:7" x14ac:dyDescent="0.45">
      <c r="A11" s="1" t="s">
        <v>25</v>
      </c>
      <c r="B11" s="1" t="str">
        <f t="shared" si="2"/>
        <v>Government of DRC</v>
      </c>
      <c r="C11" s="1" t="s">
        <v>12</v>
      </c>
      <c r="D11" s="1" t="s">
        <v>7</v>
      </c>
      <c r="E11" s="4">
        <v>45347</v>
      </c>
      <c r="F11" s="4">
        <v>47683</v>
      </c>
      <c r="G11" s="2">
        <v>64293850</v>
      </c>
    </row>
    <row r="12" spans="1:7" x14ac:dyDescent="0.45">
      <c r="A12" s="1" t="s">
        <v>26</v>
      </c>
      <c r="B12" s="1" t="str">
        <f t="shared" si="2"/>
        <v>Government of Madagascar</v>
      </c>
      <c r="C12" s="1" t="s">
        <v>13</v>
      </c>
      <c r="D12" s="1" t="s">
        <v>7</v>
      </c>
      <c r="E12" s="4">
        <v>44478</v>
      </c>
      <c r="F12" s="4">
        <v>47425</v>
      </c>
      <c r="G12" s="2">
        <v>120394857</v>
      </c>
    </row>
    <row r="13" spans="1:7" x14ac:dyDescent="0.45">
      <c r="A13" s="1" t="s">
        <v>27</v>
      </c>
      <c r="B13" s="1" t="str">
        <f t="shared" ref="B13:B18" si="3">"Telecom "&amp;C13</f>
        <v>Telecom Ethiopia</v>
      </c>
      <c r="C13" s="1" t="s">
        <v>6</v>
      </c>
      <c r="D13" s="1" t="s">
        <v>7</v>
      </c>
      <c r="E13" s="4">
        <v>43301</v>
      </c>
      <c r="F13" s="4">
        <v>48021</v>
      </c>
      <c r="G13" s="2">
        <v>257394820</v>
      </c>
    </row>
    <row r="14" spans="1:7" x14ac:dyDescent="0.45">
      <c r="A14" s="5" t="s">
        <v>28</v>
      </c>
      <c r="B14" s="1" t="str">
        <f t="shared" si="3"/>
        <v xml:space="preserve">Telecom Kenya  </v>
      </c>
      <c r="C14" s="1" t="s">
        <v>117</v>
      </c>
      <c r="D14" s="1" t="s">
        <v>7</v>
      </c>
      <c r="E14" s="4">
        <v>44019</v>
      </c>
      <c r="F14" s="4">
        <v>46582</v>
      </c>
      <c r="G14" s="2">
        <v>98475032</v>
      </c>
    </row>
    <row r="15" spans="1:7" x14ac:dyDescent="0.45">
      <c r="A15" s="5" t="s">
        <v>29</v>
      </c>
      <c r="B15" s="1" t="str">
        <f t="shared" si="3"/>
        <v xml:space="preserve">Telecom Poland  </v>
      </c>
      <c r="C15" s="1" t="s">
        <v>118</v>
      </c>
      <c r="D15" s="1" t="s">
        <v>7</v>
      </c>
      <c r="E15" s="4">
        <v>45735</v>
      </c>
      <c r="F15" s="4">
        <v>47425</v>
      </c>
      <c r="G15" s="2">
        <v>167483920</v>
      </c>
    </row>
    <row r="16" spans="1:7" x14ac:dyDescent="0.45">
      <c r="A16" s="6" t="s">
        <v>30</v>
      </c>
      <c r="B16" s="1" t="str">
        <f t="shared" si="3"/>
        <v xml:space="preserve">Telecom Romania  </v>
      </c>
      <c r="C16" s="1" t="s">
        <v>119</v>
      </c>
      <c r="D16" s="1" t="s">
        <v>7</v>
      </c>
      <c r="E16" s="4">
        <v>43355</v>
      </c>
      <c r="F16" s="4">
        <v>48021</v>
      </c>
      <c r="G16" s="2">
        <v>54392018</v>
      </c>
    </row>
    <row r="17" spans="1:7" x14ac:dyDescent="0.45">
      <c r="A17" s="6" t="s">
        <v>30</v>
      </c>
      <c r="B17" s="1" t="str">
        <f t="shared" si="3"/>
        <v xml:space="preserve">Telecom Ghana  </v>
      </c>
      <c r="C17" s="1" t="s">
        <v>120</v>
      </c>
      <c r="D17" s="1" t="s">
        <v>7</v>
      </c>
      <c r="E17" s="4">
        <v>43355</v>
      </c>
      <c r="F17" s="4">
        <v>48021</v>
      </c>
      <c r="G17" s="2">
        <v>208394756</v>
      </c>
    </row>
    <row r="18" spans="1:7" x14ac:dyDescent="0.45">
      <c r="A18" s="6" t="s">
        <v>30</v>
      </c>
      <c r="B18" s="1" t="str">
        <f t="shared" si="3"/>
        <v xml:space="preserve">Telecom Serbia  </v>
      </c>
      <c r="C18" s="1" t="s">
        <v>121</v>
      </c>
      <c r="D18" s="1" t="s">
        <v>7</v>
      </c>
      <c r="E18" s="4">
        <v>43355</v>
      </c>
      <c r="F18" s="4">
        <v>48021</v>
      </c>
      <c r="G18" s="2">
        <v>174839205</v>
      </c>
    </row>
    <row r="19" spans="1:7" x14ac:dyDescent="0.45">
      <c r="A19" s="6" t="s">
        <v>30</v>
      </c>
      <c r="B19" s="1" t="str">
        <f t="shared" ref="B19:B21" si="4">"Government of "&amp;C19</f>
        <v xml:space="preserve">Government of Morocco  </v>
      </c>
      <c r="C19" s="1" t="s">
        <v>122</v>
      </c>
      <c r="D19" s="1" t="s">
        <v>7</v>
      </c>
      <c r="E19" s="4">
        <v>43355</v>
      </c>
      <c r="F19" s="4">
        <v>48021</v>
      </c>
      <c r="G19" s="2">
        <v>263948571</v>
      </c>
    </row>
    <row r="20" spans="1:7" x14ac:dyDescent="0.45">
      <c r="A20" s="6" t="s">
        <v>30</v>
      </c>
      <c r="B20" s="1" t="str">
        <f t="shared" si="4"/>
        <v xml:space="preserve">Government of Tunisia  </v>
      </c>
      <c r="C20" s="1" t="s">
        <v>123</v>
      </c>
      <c r="D20" s="1" t="s">
        <v>7</v>
      </c>
      <c r="E20" s="4">
        <v>43355</v>
      </c>
      <c r="F20" s="4">
        <v>48021</v>
      </c>
      <c r="G20" s="2">
        <v>84392057</v>
      </c>
    </row>
    <row r="21" spans="1:7" x14ac:dyDescent="0.45">
      <c r="A21" s="6" t="s">
        <v>30</v>
      </c>
      <c r="B21" s="1" t="str">
        <f t="shared" si="4"/>
        <v xml:space="preserve">Government of Hungary  </v>
      </c>
      <c r="C21" s="1" t="s">
        <v>124</v>
      </c>
      <c r="D21" s="1" t="s">
        <v>7</v>
      </c>
      <c r="E21" s="4">
        <v>43355</v>
      </c>
      <c r="F21" s="4">
        <v>48021</v>
      </c>
      <c r="G21" s="2">
        <v>129384756</v>
      </c>
    </row>
    <row r="22" spans="1:7" x14ac:dyDescent="0.45">
      <c r="A22" s="6" t="s">
        <v>30</v>
      </c>
      <c r="B22" s="1" t="str">
        <f t="shared" ref="B22:B27" si="5">"Telecom "&amp;C22</f>
        <v xml:space="preserve">Telecom Bulgaria  </v>
      </c>
      <c r="C22" s="1" t="s">
        <v>125</v>
      </c>
      <c r="D22" s="1" t="s">
        <v>7</v>
      </c>
      <c r="E22" s="4">
        <v>43355</v>
      </c>
      <c r="F22" s="4">
        <v>48021</v>
      </c>
      <c r="G22" s="2">
        <v>295748302</v>
      </c>
    </row>
    <row r="23" spans="1:7" x14ac:dyDescent="0.45">
      <c r="A23" s="6" t="s">
        <v>30</v>
      </c>
      <c r="B23" s="1" t="str">
        <f t="shared" si="5"/>
        <v xml:space="preserve">Telecom Nigeria  </v>
      </c>
      <c r="C23" s="1" t="s">
        <v>126</v>
      </c>
      <c r="D23" s="1" t="s">
        <v>7</v>
      </c>
      <c r="E23" s="4">
        <v>43355</v>
      </c>
      <c r="F23" s="4">
        <v>48021</v>
      </c>
      <c r="G23" s="2">
        <v>68492013</v>
      </c>
    </row>
    <row r="24" spans="1:7" x14ac:dyDescent="0.45">
      <c r="A24" s="6" t="s">
        <v>30</v>
      </c>
      <c r="B24" s="1" t="str">
        <f t="shared" si="5"/>
        <v xml:space="preserve">Telecom Ethiopia  </v>
      </c>
      <c r="C24" s="1" t="s">
        <v>127</v>
      </c>
      <c r="D24" s="1" t="s">
        <v>7</v>
      </c>
      <c r="E24" s="4">
        <v>43355</v>
      </c>
      <c r="F24" s="4">
        <v>48021</v>
      </c>
      <c r="G24" s="2">
        <v>93485720</v>
      </c>
    </row>
    <row r="25" spans="1:7" x14ac:dyDescent="0.45">
      <c r="A25" s="6" t="s">
        <v>30</v>
      </c>
      <c r="B25" s="1" t="str">
        <f t="shared" si="5"/>
        <v xml:space="preserve">Telecom Czechia  </v>
      </c>
      <c r="C25" s="1" t="s">
        <v>128</v>
      </c>
      <c r="D25" s="1" t="s">
        <v>7</v>
      </c>
      <c r="E25" s="4">
        <v>43355</v>
      </c>
      <c r="F25" s="4">
        <v>48021</v>
      </c>
      <c r="G25" s="2">
        <v>152938475</v>
      </c>
    </row>
    <row r="26" spans="1:7" x14ac:dyDescent="0.45">
      <c r="A26" s="6" t="s">
        <v>30</v>
      </c>
      <c r="B26" s="1" t="str">
        <f t="shared" si="5"/>
        <v xml:space="preserve">Telecom Slovakia  </v>
      </c>
      <c r="C26" s="1" t="s">
        <v>129</v>
      </c>
      <c r="D26" s="1" t="s">
        <v>7</v>
      </c>
      <c r="E26" s="4">
        <v>43355</v>
      </c>
      <c r="F26" s="4">
        <v>48021</v>
      </c>
      <c r="G26" s="2">
        <v>487563920</v>
      </c>
    </row>
    <row r="27" spans="1:7" x14ac:dyDescent="0.45">
      <c r="A27" s="6" t="s">
        <v>30</v>
      </c>
      <c r="B27" s="1" t="str">
        <f t="shared" si="5"/>
        <v xml:space="preserve">Telecom Tanzania  </v>
      </c>
      <c r="C27" s="1" t="s">
        <v>130</v>
      </c>
      <c r="D27" s="1" t="s">
        <v>7</v>
      </c>
      <c r="E27" s="4">
        <v>43355</v>
      </c>
      <c r="F27" s="4">
        <v>48021</v>
      </c>
      <c r="G27" s="2">
        <v>20938475</v>
      </c>
    </row>
    <row r="28" spans="1:7" x14ac:dyDescent="0.45">
      <c r="A28" s="5" t="s">
        <v>31</v>
      </c>
      <c r="B28" s="1" t="str">
        <f t="shared" ref="B28:B45" si="6">"Government of "&amp;C28</f>
        <v xml:space="preserve">Government of Uganda  </v>
      </c>
      <c r="C28" s="1" t="s">
        <v>131</v>
      </c>
      <c r="D28" s="1" t="s">
        <v>7</v>
      </c>
      <c r="E28" s="4">
        <v>45904</v>
      </c>
      <c r="F28" s="4">
        <v>47177</v>
      </c>
      <c r="G28" s="2">
        <v>78492013</v>
      </c>
    </row>
    <row r="29" spans="1:7" x14ac:dyDescent="0.45">
      <c r="A29" s="5" t="s">
        <v>32</v>
      </c>
      <c r="B29" s="1" t="str">
        <f t="shared" si="6"/>
        <v xml:space="preserve">Government of Croatia  </v>
      </c>
      <c r="C29" s="1" t="s">
        <v>132</v>
      </c>
      <c r="D29" s="1" t="s">
        <v>7</v>
      </c>
      <c r="E29" s="4">
        <v>43514</v>
      </c>
      <c r="F29" s="4">
        <v>49112</v>
      </c>
      <c r="G29" s="2">
        <v>112938475</v>
      </c>
    </row>
    <row r="30" spans="1:7" x14ac:dyDescent="0.45">
      <c r="A30" s="5" t="s">
        <v>33</v>
      </c>
      <c r="B30" s="1" t="str">
        <f t="shared" ref="B30:B33" si="7">"Utility of "&amp;C30</f>
        <v xml:space="preserve">Utility of Albania  </v>
      </c>
      <c r="C30" s="1" t="s">
        <v>133</v>
      </c>
      <c r="D30" s="1" t="s">
        <v>7</v>
      </c>
      <c r="E30" s="4">
        <v>45073</v>
      </c>
      <c r="F30" s="4">
        <v>46634</v>
      </c>
      <c r="G30" s="2">
        <v>245789320</v>
      </c>
    </row>
    <row r="31" spans="1:7" x14ac:dyDescent="0.45">
      <c r="A31" s="5" t="s">
        <v>34</v>
      </c>
      <c r="B31" s="1" t="str">
        <f t="shared" si="7"/>
        <v xml:space="preserve">Utility of Zambia  </v>
      </c>
      <c r="C31" s="1" t="s">
        <v>134</v>
      </c>
      <c r="D31" s="1" t="s">
        <v>7</v>
      </c>
      <c r="E31" s="4">
        <v>44478</v>
      </c>
      <c r="F31" s="4">
        <v>48173</v>
      </c>
      <c r="G31" s="2">
        <v>39847502</v>
      </c>
    </row>
    <row r="32" spans="1:7" x14ac:dyDescent="0.45">
      <c r="A32" s="5" t="s">
        <v>35</v>
      </c>
      <c r="B32" s="1" t="str">
        <f t="shared" si="7"/>
        <v xml:space="preserve">Utility of Zimbabwe  </v>
      </c>
      <c r="C32" s="1" t="s">
        <v>135</v>
      </c>
      <c r="D32" s="1" t="s">
        <v>7</v>
      </c>
      <c r="E32" s="4">
        <v>45455</v>
      </c>
      <c r="F32" s="4">
        <v>48648</v>
      </c>
      <c r="G32" s="2">
        <v>675849302</v>
      </c>
    </row>
    <row r="33" spans="1:7" x14ac:dyDescent="0.45">
      <c r="A33" s="5" t="s">
        <v>36</v>
      </c>
      <c r="B33" s="1" t="str">
        <f t="shared" si="7"/>
        <v xml:space="preserve">Utility of Bosnia and Herzegovina  </v>
      </c>
      <c r="C33" s="1" t="s">
        <v>136</v>
      </c>
      <c r="D33" s="1" t="s">
        <v>7</v>
      </c>
      <c r="E33" s="4">
        <v>43920</v>
      </c>
      <c r="F33" s="4">
        <v>46963</v>
      </c>
      <c r="G33" s="2">
        <v>183947502</v>
      </c>
    </row>
    <row r="34" spans="1:7" x14ac:dyDescent="0.45">
      <c r="A34" s="5" t="s">
        <v>37</v>
      </c>
      <c r="B34" s="1" t="str">
        <f t="shared" si="6"/>
        <v xml:space="preserve">Government of North Macedonia  </v>
      </c>
      <c r="C34" s="1" t="s">
        <v>137</v>
      </c>
      <c r="D34" s="1" t="s">
        <v>7</v>
      </c>
      <c r="E34" s="4">
        <v>45662</v>
      </c>
      <c r="F34" s="4">
        <v>47489</v>
      </c>
      <c r="G34" s="2">
        <v>294857103</v>
      </c>
    </row>
    <row r="35" spans="1:7" x14ac:dyDescent="0.45">
      <c r="A35" s="5" t="s">
        <v>38</v>
      </c>
      <c r="B35" s="1" t="str">
        <f t="shared" si="6"/>
        <v xml:space="preserve">Government of Senegal  </v>
      </c>
      <c r="C35" s="1" t="s">
        <v>138</v>
      </c>
      <c r="D35" s="1" t="s">
        <v>7</v>
      </c>
      <c r="E35" s="4">
        <v>43301</v>
      </c>
      <c r="F35" s="4">
        <v>48347</v>
      </c>
      <c r="G35" s="2">
        <v>57483920</v>
      </c>
    </row>
    <row r="36" spans="1:7" x14ac:dyDescent="0.45">
      <c r="A36" s="5" t="s">
        <v>39</v>
      </c>
      <c r="B36" s="1" t="str">
        <f>"Utility of "&amp;C36</f>
        <v xml:space="preserve">Utility of Ivory Coast  </v>
      </c>
      <c r="C36" s="1" t="s">
        <v>139</v>
      </c>
      <c r="D36" s="1" t="s">
        <v>7</v>
      </c>
      <c r="E36" s="4">
        <v>44662</v>
      </c>
      <c r="F36" s="4">
        <v>46691</v>
      </c>
      <c r="G36" s="2">
        <v>839475201</v>
      </c>
    </row>
    <row r="37" spans="1:7" x14ac:dyDescent="0.45">
      <c r="A37" s="5" t="s">
        <v>40</v>
      </c>
      <c r="B37" s="1" t="str">
        <f t="shared" si="6"/>
        <v xml:space="preserve">Government of Lithuania  </v>
      </c>
      <c r="C37" s="1" t="s">
        <v>140</v>
      </c>
      <c r="D37" s="1" t="s">
        <v>7</v>
      </c>
      <c r="E37" s="4">
        <v>45286</v>
      </c>
      <c r="F37" s="4">
        <v>49054</v>
      </c>
      <c r="G37" s="2">
        <v>102938475</v>
      </c>
    </row>
    <row r="38" spans="1:7" x14ac:dyDescent="0.45">
      <c r="A38" s="5" t="s">
        <v>41</v>
      </c>
      <c r="B38" s="1" t="str">
        <f t="shared" si="6"/>
        <v xml:space="preserve">Government of Latvia  </v>
      </c>
      <c r="C38" s="1" t="s">
        <v>141</v>
      </c>
      <c r="D38" s="1" t="s">
        <v>7</v>
      </c>
      <c r="E38" s="4">
        <v>44262</v>
      </c>
      <c r="F38" s="4">
        <v>47368</v>
      </c>
      <c r="G38" s="2">
        <v>256789034</v>
      </c>
    </row>
    <row r="39" spans="1:7" x14ac:dyDescent="0.45">
      <c r="A39" s="5" t="s">
        <v>42</v>
      </c>
      <c r="B39" s="1" t="str">
        <f t="shared" si="6"/>
        <v xml:space="preserve">Government of Estonia  </v>
      </c>
      <c r="C39" s="1" t="s">
        <v>142</v>
      </c>
      <c r="D39" s="1" t="s">
        <v>7</v>
      </c>
      <c r="E39" s="4">
        <v>45519</v>
      </c>
      <c r="F39" s="4">
        <v>48925</v>
      </c>
      <c r="G39" s="2">
        <v>48920375</v>
      </c>
    </row>
    <row r="40" spans="1:7" x14ac:dyDescent="0.45">
      <c r="A40" s="5" t="s">
        <v>43</v>
      </c>
      <c r="B40" s="1" t="str">
        <f t="shared" si="6"/>
        <v xml:space="preserve">Government of Kosovo  </v>
      </c>
      <c r="C40" s="1" t="s">
        <v>143</v>
      </c>
      <c r="D40" s="1" t="s">
        <v>7</v>
      </c>
      <c r="E40" s="4">
        <v>43771</v>
      </c>
      <c r="F40" s="4">
        <v>46563</v>
      </c>
      <c r="G40" s="2">
        <v>164839205</v>
      </c>
    </row>
    <row r="41" spans="1:7" x14ac:dyDescent="0.45">
      <c r="A41" s="5" t="s">
        <v>44</v>
      </c>
      <c r="B41" s="1" t="str">
        <f t="shared" si="6"/>
        <v xml:space="preserve">Government of Montenegro  </v>
      </c>
      <c r="C41" s="1" t="s">
        <v>144</v>
      </c>
      <c r="D41" s="1" t="s">
        <v>7</v>
      </c>
      <c r="E41" s="4">
        <v>45765</v>
      </c>
      <c r="F41" s="4">
        <v>48245</v>
      </c>
      <c r="G41" s="2">
        <v>278394650</v>
      </c>
    </row>
    <row r="42" spans="1:7" x14ac:dyDescent="0.45">
      <c r="A42" s="6" t="s">
        <v>45</v>
      </c>
      <c r="B42" s="1" t="str">
        <f t="shared" si="6"/>
        <v xml:space="preserve">Government of Moldova  </v>
      </c>
      <c r="C42" s="1" t="s">
        <v>145</v>
      </c>
      <c r="D42" s="1" t="s">
        <v>7</v>
      </c>
      <c r="E42" s="4">
        <v>44006</v>
      </c>
      <c r="F42" s="4">
        <v>47710</v>
      </c>
      <c r="G42" s="2">
        <v>59384720</v>
      </c>
    </row>
    <row r="43" spans="1:7" x14ac:dyDescent="0.45">
      <c r="A43" s="6" t="s">
        <v>45</v>
      </c>
      <c r="B43" s="1" t="str">
        <f t="shared" si="6"/>
        <v xml:space="preserve">Government of Georgia  </v>
      </c>
      <c r="C43" s="1" t="s">
        <v>146</v>
      </c>
      <c r="D43" s="1" t="s">
        <v>7</v>
      </c>
      <c r="E43" s="4">
        <v>44006</v>
      </c>
      <c r="F43" s="4">
        <v>47710</v>
      </c>
      <c r="G43" s="2">
        <v>138475920</v>
      </c>
    </row>
    <row r="44" spans="1:7" x14ac:dyDescent="0.45">
      <c r="A44" s="6" t="s">
        <v>45</v>
      </c>
      <c r="B44" s="1" t="str">
        <f t="shared" si="6"/>
        <v xml:space="preserve">Government of Armenia  </v>
      </c>
      <c r="C44" s="1" t="s">
        <v>147</v>
      </c>
      <c r="D44" s="1" t="s">
        <v>7</v>
      </c>
      <c r="E44" s="4">
        <v>44006</v>
      </c>
      <c r="F44" s="4">
        <v>47710</v>
      </c>
      <c r="G44" s="2">
        <v>247593801</v>
      </c>
    </row>
    <row r="45" spans="1:7" x14ac:dyDescent="0.45">
      <c r="A45" s="6" t="s">
        <v>45</v>
      </c>
      <c r="B45" s="1" t="str">
        <f t="shared" si="6"/>
        <v xml:space="preserve">Government of Azerbaijan  </v>
      </c>
      <c r="C45" s="1" t="s">
        <v>148</v>
      </c>
      <c r="D45" s="1" t="s">
        <v>7</v>
      </c>
      <c r="E45" s="4">
        <v>44006</v>
      </c>
      <c r="F45" s="4">
        <v>47710</v>
      </c>
      <c r="G45" s="2">
        <v>67548392</v>
      </c>
    </row>
    <row r="46" spans="1:7" x14ac:dyDescent="0.45">
      <c r="A46" s="6" t="s">
        <v>45</v>
      </c>
      <c r="B46" s="1" t="str">
        <f t="shared" ref="B46:B49" si="8">"Telecom "&amp;C46</f>
        <v xml:space="preserve">Telecom Kenya  </v>
      </c>
      <c r="C46" s="1" t="s">
        <v>117</v>
      </c>
      <c r="D46" s="1" t="s">
        <v>7</v>
      </c>
      <c r="E46" s="4">
        <v>44006</v>
      </c>
      <c r="F46" s="4">
        <v>47710</v>
      </c>
      <c r="G46" s="2">
        <v>294857320</v>
      </c>
    </row>
    <row r="47" spans="1:7" x14ac:dyDescent="0.45">
      <c r="A47" s="6" t="s">
        <v>45</v>
      </c>
      <c r="B47" s="1" t="str">
        <f t="shared" si="8"/>
        <v xml:space="preserve">Telecom Nigeria  </v>
      </c>
      <c r="C47" s="1" t="s">
        <v>126</v>
      </c>
      <c r="D47" s="1" t="s">
        <v>7</v>
      </c>
      <c r="E47" s="4">
        <v>44006</v>
      </c>
      <c r="F47" s="4">
        <v>47710</v>
      </c>
      <c r="G47" s="2">
        <v>108394756</v>
      </c>
    </row>
    <row r="48" spans="1:7" x14ac:dyDescent="0.45">
      <c r="A48" s="6" t="s">
        <v>45</v>
      </c>
      <c r="B48" s="1" t="str">
        <f t="shared" si="8"/>
        <v xml:space="preserve">Telecom Ghana  </v>
      </c>
      <c r="C48" s="1" t="s">
        <v>120</v>
      </c>
      <c r="D48" s="1" t="s">
        <v>7</v>
      </c>
      <c r="E48" s="4">
        <v>44006</v>
      </c>
      <c r="F48" s="4">
        <v>47710</v>
      </c>
      <c r="G48" s="2">
        <v>238947501</v>
      </c>
    </row>
    <row r="49" spans="1:7" x14ac:dyDescent="0.45">
      <c r="A49" s="6" t="s">
        <v>45</v>
      </c>
      <c r="B49" s="1" t="str">
        <f t="shared" si="8"/>
        <v xml:space="preserve">Telecom Egypt  </v>
      </c>
      <c r="C49" s="1" t="s">
        <v>149</v>
      </c>
      <c r="D49" s="1" t="s">
        <v>7</v>
      </c>
      <c r="E49" s="4">
        <v>44006</v>
      </c>
      <c r="F49" s="4">
        <v>47710</v>
      </c>
      <c r="G49" s="2">
        <v>75938420</v>
      </c>
    </row>
    <row r="50" spans="1:7" x14ac:dyDescent="0.45">
      <c r="A50" s="6" t="s">
        <v>45</v>
      </c>
      <c r="B50" s="1" t="str">
        <f t="shared" ref="B50:B65" si="9">"Government of "&amp;C50</f>
        <v xml:space="preserve">Government of Algeria  </v>
      </c>
      <c r="C50" s="1" t="s">
        <v>150</v>
      </c>
      <c r="D50" s="1" t="s">
        <v>7</v>
      </c>
      <c r="E50" s="4">
        <v>44006</v>
      </c>
      <c r="F50" s="4">
        <v>47710</v>
      </c>
      <c r="G50" s="2">
        <v>183947560</v>
      </c>
    </row>
    <row r="51" spans="1:7" x14ac:dyDescent="0.45">
      <c r="A51" s="6" t="s">
        <v>45</v>
      </c>
      <c r="B51" s="1" t="str">
        <f t="shared" si="9"/>
        <v xml:space="preserve">Government of Morocco  </v>
      </c>
      <c r="C51" s="1" t="s">
        <v>122</v>
      </c>
      <c r="D51" s="1" t="s">
        <v>7</v>
      </c>
      <c r="E51" s="4">
        <v>44006</v>
      </c>
      <c r="F51" s="4">
        <v>47710</v>
      </c>
      <c r="G51" s="2">
        <v>293847501</v>
      </c>
    </row>
    <row r="52" spans="1:7" x14ac:dyDescent="0.45">
      <c r="A52" s="6" t="s">
        <v>45</v>
      </c>
      <c r="B52" s="1" t="str">
        <f t="shared" si="9"/>
        <v xml:space="preserve">Government of Tunisia  </v>
      </c>
      <c r="C52" s="1" t="s">
        <v>123</v>
      </c>
      <c r="D52" s="1" t="s">
        <v>7</v>
      </c>
      <c r="E52" s="4">
        <v>44006</v>
      </c>
      <c r="F52" s="4">
        <v>47710</v>
      </c>
      <c r="G52" s="2">
        <v>65839420</v>
      </c>
    </row>
    <row r="53" spans="1:7" x14ac:dyDescent="0.45">
      <c r="A53" s="6" t="s">
        <v>45</v>
      </c>
      <c r="B53" s="1" t="str">
        <f t="shared" si="9"/>
        <v xml:space="preserve">Government of South Africa  </v>
      </c>
      <c r="C53" s="1" t="s">
        <v>151</v>
      </c>
      <c r="D53" s="1" t="s">
        <v>7</v>
      </c>
      <c r="E53" s="4">
        <v>44006</v>
      </c>
      <c r="F53" s="4">
        <v>47710</v>
      </c>
      <c r="G53" s="2">
        <v>119283746</v>
      </c>
    </row>
    <row r="54" spans="1:7" x14ac:dyDescent="0.45">
      <c r="A54" s="6" t="s">
        <v>45</v>
      </c>
      <c r="B54" s="1" t="str">
        <f t="shared" ref="B54:B56" si="10">"Utility of "&amp;C54</f>
        <v xml:space="preserve">Utility of Namibia  </v>
      </c>
      <c r="C54" s="1" t="s">
        <v>152</v>
      </c>
      <c r="D54" s="1" t="s">
        <v>7</v>
      </c>
      <c r="E54" s="4">
        <v>44006</v>
      </c>
      <c r="F54" s="4">
        <v>47710</v>
      </c>
      <c r="G54" s="2">
        <v>274839205</v>
      </c>
    </row>
    <row r="55" spans="1:7" x14ac:dyDescent="0.45">
      <c r="A55" s="5" t="s">
        <v>46</v>
      </c>
      <c r="B55" s="1" t="str">
        <f t="shared" si="10"/>
        <v xml:space="preserve">Utility of Botswana  </v>
      </c>
      <c r="C55" s="1" t="s">
        <v>153</v>
      </c>
      <c r="D55" s="1" t="s">
        <v>7</v>
      </c>
      <c r="E55" s="4">
        <v>44591</v>
      </c>
      <c r="F55" s="4">
        <v>47338</v>
      </c>
      <c r="G55" s="2">
        <v>38947502</v>
      </c>
    </row>
    <row r="56" spans="1:7" x14ac:dyDescent="0.45">
      <c r="A56" s="5" t="s">
        <v>47</v>
      </c>
      <c r="B56" s="1" t="str">
        <f t="shared" si="10"/>
        <v xml:space="preserve">Utility of Angola  </v>
      </c>
      <c r="C56" s="1" t="s">
        <v>154</v>
      </c>
      <c r="D56" s="1" t="s">
        <v>7</v>
      </c>
      <c r="E56" s="4">
        <v>45881</v>
      </c>
      <c r="F56" s="4">
        <v>47928</v>
      </c>
      <c r="G56" s="2">
        <v>84930275</v>
      </c>
    </row>
    <row r="57" spans="1:7" x14ac:dyDescent="0.45">
      <c r="A57" s="5" t="s">
        <v>48</v>
      </c>
      <c r="B57" s="1" t="str">
        <f t="shared" si="9"/>
        <v xml:space="preserve">Government of Mozambique  </v>
      </c>
      <c r="C57" s="1" t="s">
        <v>155</v>
      </c>
      <c r="D57" s="1" t="s">
        <v>7</v>
      </c>
      <c r="E57" s="4">
        <v>43882</v>
      </c>
      <c r="F57" s="4">
        <v>49080</v>
      </c>
      <c r="G57" s="2">
        <v>159384720</v>
      </c>
    </row>
    <row r="58" spans="1:7" x14ac:dyDescent="0.45">
      <c r="A58" s="5" t="s">
        <v>49</v>
      </c>
      <c r="B58" s="1" t="str">
        <f t="shared" si="9"/>
        <v xml:space="preserve">Government of Madagascar  </v>
      </c>
      <c r="C58" s="1" t="s">
        <v>156</v>
      </c>
      <c r="D58" s="1" t="s">
        <v>7</v>
      </c>
      <c r="E58" s="4">
        <v>45052</v>
      </c>
      <c r="F58" s="4">
        <v>47085</v>
      </c>
      <c r="G58" s="2">
        <v>203948576</v>
      </c>
    </row>
    <row r="59" spans="1:7" x14ac:dyDescent="0.45">
      <c r="A59" s="5" t="s">
        <v>50</v>
      </c>
      <c r="B59" s="1" t="str">
        <f t="shared" si="9"/>
        <v xml:space="preserve">Government of Cameroon  </v>
      </c>
      <c r="C59" s="1" t="s">
        <v>157</v>
      </c>
      <c r="D59" s="1" t="s">
        <v>7</v>
      </c>
      <c r="E59" s="4">
        <v>45583</v>
      </c>
      <c r="F59" s="4">
        <v>47671</v>
      </c>
      <c r="G59" s="2">
        <v>73485920</v>
      </c>
    </row>
    <row r="60" spans="1:7" x14ac:dyDescent="0.45">
      <c r="A60" s="6" t="s">
        <v>51</v>
      </c>
      <c r="B60" s="1" t="str">
        <f t="shared" si="9"/>
        <v xml:space="preserve">Government of Rwanda  </v>
      </c>
      <c r="C60" s="1" t="s">
        <v>158</v>
      </c>
      <c r="D60" s="1" t="s">
        <v>7</v>
      </c>
      <c r="E60" s="4">
        <v>44380</v>
      </c>
      <c r="F60" s="4">
        <v>48603</v>
      </c>
      <c r="G60" s="2">
        <v>198374650</v>
      </c>
    </row>
    <row r="61" spans="1:7" x14ac:dyDescent="0.45">
      <c r="A61" s="6" t="s">
        <v>51</v>
      </c>
      <c r="B61" s="1" t="str">
        <f t="shared" si="9"/>
        <v xml:space="preserve">Government of Burundi  </v>
      </c>
      <c r="C61" s="1" t="s">
        <v>159</v>
      </c>
      <c r="D61" s="1" t="s">
        <v>7</v>
      </c>
      <c r="E61" s="4">
        <v>44380</v>
      </c>
      <c r="F61" s="4">
        <v>48603</v>
      </c>
      <c r="G61" s="2">
        <v>284750193</v>
      </c>
    </row>
    <row r="62" spans="1:7" x14ac:dyDescent="0.45">
      <c r="A62" s="6" t="s">
        <v>51</v>
      </c>
      <c r="B62" s="1" t="str">
        <f t="shared" si="9"/>
        <v xml:space="preserve">Government of Malawi  </v>
      </c>
      <c r="C62" s="1" t="s">
        <v>160</v>
      </c>
      <c r="D62" s="1" t="s">
        <v>7</v>
      </c>
      <c r="E62" s="4">
        <v>44380</v>
      </c>
      <c r="F62" s="4">
        <v>48603</v>
      </c>
      <c r="G62" s="2">
        <v>64930285</v>
      </c>
    </row>
    <row r="63" spans="1:7" x14ac:dyDescent="0.45">
      <c r="A63" s="6" t="s">
        <v>51</v>
      </c>
      <c r="B63" s="1" t="str">
        <f t="shared" si="9"/>
        <v xml:space="preserve">Government of Zambia  </v>
      </c>
      <c r="C63" s="1" t="s">
        <v>134</v>
      </c>
      <c r="D63" s="1" t="s">
        <v>7</v>
      </c>
      <c r="E63" s="4">
        <v>44380</v>
      </c>
      <c r="F63" s="4">
        <v>48603</v>
      </c>
      <c r="G63" s="2">
        <v>112839475</v>
      </c>
    </row>
    <row r="64" spans="1:7" x14ac:dyDescent="0.45">
      <c r="A64" s="6" t="s">
        <v>51</v>
      </c>
      <c r="B64" s="1" t="str">
        <f t="shared" si="9"/>
        <v xml:space="preserve">Government of Zimbabwe  </v>
      </c>
      <c r="C64" s="1" t="s">
        <v>135</v>
      </c>
      <c r="D64" s="1" t="s">
        <v>7</v>
      </c>
      <c r="E64" s="4">
        <v>44380</v>
      </c>
      <c r="F64" s="4">
        <v>48603</v>
      </c>
      <c r="G64" s="2">
        <v>267394850</v>
      </c>
    </row>
    <row r="65" spans="1:7" x14ac:dyDescent="0.45">
      <c r="A65" s="6" t="s">
        <v>51</v>
      </c>
      <c r="B65" s="1" t="str">
        <f t="shared" si="9"/>
        <v xml:space="preserve">Government of Uganda  </v>
      </c>
      <c r="C65" s="1" t="s">
        <v>131</v>
      </c>
      <c r="D65" s="1" t="s">
        <v>7</v>
      </c>
      <c r="E65" s="4">
        <v>44380</v>
      </c>
      <c r="F65" s="4">
        <v>48603</v>
      </c>
      <c r="G65" s="2">
        <v>39485720</v>
      </c>
    </row>
    <row r="66" spans="1:7" x14ac:dyDescent="0.45">
      <c r="A66" s="6" t="s">
        <v>51</v>
      </c>
      <c r="B66" s="1" t="str">
        <f t="shared" ref="B66:B71" si="11">"Telecom "&amp;C66</f>
        <v xml:space="preserve">Telecom Tanzania  </v>
      </c>
      <c r="C66" s="1" t="s">
        <v>130</v>
      </c>
      <c r="D66" s="1" t="s">
        <v>7</v>
      </c>
      <c r="E66" s="4">
        <v>44380</v>
      </c>
      <c r="F66" s="4">
        <v>48603</v>
      </c>
      <c r="G66" s="2">
        <v>98430275</v>
      </c>
    </row>
    <row r="67" spans="1:7" x14ac:dyDescent="0.45">
      <c r="A67" s="6" t="s">
        <v>51</v>
      </c>
      <c r="B67" s="1" t="str">
        <f t="shared" si="11"/>
        <v xml:space="preserve">Telecom Ethiopia  </v>
      </c>
      <c r="C67" s="1" t="s">
        <v>127</v>
      </c>
      <c r="D67" s="1" t="s">
        <v>7</v>
      </c>
      <c r="E67" s="4">
        <v>44380</v>
      </c>
      <c r="F67" s="4">
        <v>48603</v>
      </c>
      <c r="G67" s="2">
        <v>150293847</v>
      </c>
    </row>
    <row r="68" spans="1:7" x14ac:dyDescent="0.45">
      <c r="A68" s="6" t="s">
        <v>51</v>
      </c>
      <c r="B68" s="1" t="str">
        <f t="shared" si="11"/>
        <v xml:space="preserve">Telecom Somalia  </v>
      </c>
      <c r="C68" s="1" t="s">
        <v>161</v>
      </c>
      <c r="D68" s="1" t="s">
        <v>7</v>
      </c>
      <c r="E68" s="4">
        <v>44380</v>
      </c>
      <c r="F68" s="4">
        <v>48603</v>
      </c>
      <c r="G68" s="2">
        <v>263947501</v>
      </c>
    </row>
    <row r="69" spans="1:7" x14ac:dyDescent="0.45">
      <c r="A69" s="6" t="s">
        <v>51</v>
      </c>
      <c r="B69" s="1" t="str">
        <f t="shared" si="11"/>
        <v xml:space="preserve">Telecom Djibouti  </v>
      </c>
      <c r="C69" s="1" t="s">
        <v>162</v>
      </c>
      <c r="D69" s="1" t="s">
        <v>7</v>
      </c>
      <c r="E69" s="4">
        <v>44380</v>
      </c>
      <c r="F69" s="4">
        <v>48603</v>
      </c>
      <c r="G69" s="2">
        <v>54839201</v>
      </c>
    </row>
    <row r="70" spans="1:7" x14ac:dyDescent="0.45">
      <c r="A70" s="6" t="s">
        <v>51</v>
      </c>
      <c r="B70" s="1" t="str">
        <f t="shared" si="11"/>
        <v xml:space="preserve">Telecom Eritrea  </v>
      </c>
      <c r="C70" s="1" t="s">
        <v>163</v>
      </c>
      <c r="D70" s="1" t="s">
        <v>7</v>
      </c>
      <c r="E70" s="4">
        <v>44380</v>
      </c>
      <c r="F70" s="4">
        <v>48603</v>
      </c>
      <c r="G70" s="2">
        <v>209384756</v>
      </c>
    </row>
    <row r="71" spans="1:7" x14ac:dyDescent="0.45">
      <c r="A71" s="6" t="s">
        <v>51</v>
      </c>
      <c r="B71" s="1" t="str">
        <f t="shared" si="11"/>
        <v xml:space="preserve">Telecom Sudan  </v>
      </c>
      <c r="C71" s="1" t="s">
        <v>164</v>
      </c>
      <c r="D71" s="1" t="s">
        <v>7</v>
      </c>
      <c r="E71" s="4">
        <v>44380</v>
      </c>
      <c r="F71" s="4">
        <v>48603</v>
      </c>
      <c r="G71" s="2">
        <v>173849205</v>
      </c>
    </row>
    <row r="72" spans="1:7" x14ac:dyDescent="0.45">
      <c r="A72" s="6" t="s">
        <v>51</v>
      </c>
      <c r="B72" s="1" t="str">
        <f t="shared" ref="B72:B87" si="12">"Government of "&amp;C72</f>
        <v xml:space="preserve">Government of South Sudan  </v>
      </c>
      <c r="C72" s="1" t="s">
        <v>165</v>
      </c>
      <c r="D72" s="1" t="s">
        <v>7</v>
      </c>
      <c r="E72" s="4">
        <v>44380</v>
      </c>
      <c r="F72" s="4">
        <v>48603</v>
      </c>
      <c r="G72" s="2">
        <v>294857013</v>
      </c>
    </row>
    <row r="73" spans="1:7" x14ac:dyDescent="0.45">
      <c r="A73" s="6" t="s">
        <v>51</v>
      </c>
      <c r="B73" s="1" t="str">
        <f t="shared" si="12"/>
        <v xml:space="preserve">Government of Chad  </v>
      </c>
      <c r="C73" s="1" t="s">
        <v>166</v>
      </c>
      <c r="D73" s="1" t="s">
        <v>7</v>
      </c>
      <c r="E73" s="4">
        <v>44380</v>
      </c>
      <c r="F73" s="4">
        <v>48603</v>
      </c>
      <c r="G73" s="2">
        <v>638475920</v>
      </c>
    </row>
    <row r="74" spans="1:7" x14ac:dyDescent="0.45">
      <c r="A74" s="6" t="s">
        <v>51</v>
      </c>
      <c r="B74" s="1" t="str">
        <f t="shared" si="12"/>
        <v xml:space="preserve">Government of Niger  </v>
      </c>
      <c r="C74" s="1" t="s">
        <v>167</v>
      </c>
      <c r="D74" s="1" t="s">
        <v>7</v>
      </c>
      <c r="E74" s="4">
        <v>44380</v>
      </c>
      <c r="F74" s="4">
        <v>48603</v>
      </c>
      <c r="G74" s="2">
        <v>120394875</v>
      </c>
    </row>
    <row r="75" spans="1:7" x14ac:dyDescent="0.45">
      <c r="A75" s="6" t="s">
        <v>51</v>
      </c>
      <c r="B75" s="1" t="str">
        <f t="shared" si="12"/>
        <v xml:space="preserve">Government of Mali  </v>
      </c>
      <c r="C75" s="1" t="s">
        <v>168</v>
      </c>
      <c r="D75" s="1" t="s">
        <v>7</v>
      </c>
      <c r="E75" s="4">
        <v>44380</v>
      </c>
      <c r="F75" s="4">
        <v>48603</v>
      </c>
      <c r="G75" s="2">
        <v>257483920</v>
      </c>
    </row>
    <row r="76" spans="1:7" x14ac:dyDescent="0.45">
      <c r="A76" s="6" t="s">
        <v>51</v>
      </c>
      <c r="B76" s="1" t="str">
        <f t="shared" si="12"/>
        <v xml:space="preserve">Government of Burkina Faso  </v>
      </c>
      <c r="C76" s="1" t="s">
        <v>169</v>
      </c>
      <c r="D76" s="1" t="s">
        <v>7</v>
      </c>
      <c r="E76" s="4">
        <v>44380</v>
      </c>
      <c r="F76" s="4">
        <v>48603</v>
      </c>
      <c r="G76" s="2">
        <v>87459302</v>
      </c>
    </row>
    <row r="77" spans="1:7" x14ac:dyDescent="0.45">
      <c r="A77" s="6" t="s">
        <v>51</v>
      </c>
      <c r="B77" s="1" t="str">
        <f t="shared" ref="B77:B79" si="13">"Utility of "&amp;C77</f>
        <v xml:space="preserve">Utility of Senegal  </v>
      </c>
      <c r="C77" s="1" t="s">
        <v>138</v>
      </c>
      <c r="D77" s="1" t="s">
        <v>7</v>
      </c>
      <c r="E77" s="4">
        <v>44380</v>
      </c>
      <c r="F77" s="4">
        <v>48603</v>
      </c>
      <c r="G77" s="2">
        <v>139284750</v>
      </c>
    </row>
    <row r="78" spans="1:7" x14ac:dyDescent="0.45">
      <c r="A78" s="6" t="s">
        <v>51</v>
      </c>
      <c r="B78" s="1" t="str">
        <f t="shared" si="13"/>
        <v xml:space="preserve">Utility of Gambia  </v>
      </c>
      <c r="C78" s="1" t="s">
        <v>170</v>
      </c>
      <c r="D78" s="1" t="s">
        <v>7</v>
      </c>
      <c r="E78" s="4">
        <v>44380</v>
      </c>
      <c r="F78" s="4">
        <v>48603</v>
      </c>
      <c r="G78" s="2">
        <v>298374650</v>
      </c>
    </row>
    <row r="79" spans="1:7" x14ac:dyDescent="0.45">
      <c r="A79" s="6" t="s">
        <v>51</v>
      </c>
      <c r="B79" s="1" t="str">
        <f t="shared" si="13"/>
        <v xml:space="preserve">Utility of Guinea  </v>
      </c>
      <c r="C79" s="1" t="s">
        <v>171</v>
      </c>
      <c r="D79" s="1" t="s">
        <v>7</v>
      </c>
      <c r="E79" s="4">
        <v>44380</v>
      </c>
      <c r="F79" s="4">
        <v>48603</v>
      </c>
      <c r="G79" s="2">
        <v>54783920</v>
      </c>
    </row>
    <row r="80" spans="1:7" x14ac:dyDescent="0.45">
      <c r="A80" s="6" t="s">
        <v>51</v>
      </c>
      <c r="B80" s="1" t="str">
        <f t="shared" si="12"/>
        <v xml:space="preserve">Government of Sierra Leone  </v>
      </c>
      <c r="C80" s="1" t="s">
        <v>172</v>
      </c>
      <c r="D80" s="1" t="s">
        <v>7</v>
      </c>
      <c r="E80" s="4">
        <v>44380</v>
      </c>
      <c r="F80" s="4">
        <v>48603</v>
      </c>
      <c r="G80" s="2">
        <v>183947205</v>
      </c>
    </row>
    <row r="81" spans="1:7" x14ac:dyDescent="0.45">
      <c r="A81" s="5" t="s">
        <v>52</v>
      </c>
      <c r="B81" s="1" t="str">
        <f t="shared" si="12"/>
        <v xml:space="preserve">Government of Liberia  </v>
      </c>
      <c r="C81" s="1" t="s">
        <v>173</v>
      </c>
      <c r="D81" s="1" t="s">
        <v>7</v>
      </c>
      <c r="E81" s="4">
        <v>45692</v>
      </c>
      <c r="F81" s="4">
        <v>46583</v>
      </c>
      <c r="G81" s="2">
        <v>264839750</v>
      </c>
    </row>
    <row r="82" spans="1:7" x14ac:dyDescent="0.45">
      <c r="A82" s="5" t="s">
        <v>53</v>
      </c>
      <c r="B82" s="1" t="str">
        <f t="shared" si="12"/>
        <v xml:space="preserve">Government of Togo  </v>
      </c>
      <c r="C82" s="1" t="s">
        <v>174</v>
      </c>
      <c r="D82" s="1" t="s">
        <v>7</v>
      </c>
      <c r="E82" s="4">
        <v>44035</v>
      </c>
      <c r="F82" s="4">
        <v>47965</v>
      </c>
      <c r="G82" s="2">
        <v>73948520</v>
      </c>
    </row>
    <row r="83" spans="1:7" x14ac:dyDescent="0.45">
      <c r="A83" s="5" t="s">
        <v>54</v>
      </c>
      <c r="B83" s="1" t="str">
        <f t="shared" si="12"/>
        <v xml:space="preserve">Government of Benin  </v>
      </c>
      <c r="C83" s="1" t="s">
        <v>175</v>
      </c>
      <c r="D83" s="1" t="s">
        <v>7</v>
      </c>
      <c r="E83" s="4">
        <v>44573</v>
      </c>
      <c r="F83" s="4">
        <v>47456</v>
      </c>
      <c r="G83" s="2">
        <v>194857302</v>
      </c>
    </row>
    <row r="84" spans="1:7" x14ac:dyDescent="0.45">
      <c r="A84" s="5" t="s">
        <v>55</v>
      </c>
      <c r="B84" s="1" t="str">
        <f t="shared" si="12"/>
        <v xml:space="preserve">Government of Gabon  </v>
      </c>
      <c r="C84" s="1" t="s">
        <v>176</v>
      </c>
      <c r="D84" s="1" t="s">
        <v>7</v>
      </c>
      <c r="E84" s="4">
        <v>45443</v>
      </c>
      <c r="F84" s="4">
        <v>48385</v>
      </c>
      <c r="G84" s="2">
        <v>58203947</v>
      </c>
    </row>
    <row r="85" spans="1:7" x14ac:dyDescent="0.45">
      <c r="A85" s="5" t="s">
        <v>56</v>
      </c>
      <c r="B85" s="1" t="str">
        <f t="shared" si="12"/>
        <v xml:space="preserve">Government of Congo  </v>
      </c>
      <c r="C85" s="1" t="s">
        <v>177</v>
      </c>
      <c r="D85" s="1" t="s">
        <v>7</v>
      </c>
      <c r="E85" s="4">
        <v>43379</v>
      </c>
      <c r="F85" s="4">
        <v>49261</v>
      </c>
      <c r="G85" s="2">
        <v>239485760</v>
      </c>
    </row>
    <row r="86" spans="1:7" x14ac:dyDescent="0.45">
      <c r="A86" s="5" t="s">
        <v>57</v>
      </c>
      <c r="B86" s="1" t="str">
        <f t="shared" si="12"/>
        <v xml:space="preserve">Government of DR Congo  </v>
      </c>
      <c r="C86" s="1" t="s">
        <v>178</v>
      </c>
      <c r="D86" s="1" t="s">
        <v>7</v>
      </c>
      <c r="E86" s="4">
        <v>45886</v>
      </c>
      <c r="F86" s="4">
        <v>46783</v>
      </c>
      <c r="G86" s="2">
        <v>168394205</v>
      </c>
    </row>
    <row r="87" spans="1:7" x14ac:dyDescent="0.45">
      <c r="A87" s="5" t="s">
        <v>58</v>
      </c>
      <c r="B87" s="1" t="str">
        <f t="shared" si="12"/>
        <v xml:space="preserve">Government of Central African Republic  </v>
      </c>
      <c r="C87" s="1" t="s">
        <v>179</v>
      </c>
      <c r="D87" s="1" t="s">
        <v>7</v>
      </c>
      <c r="E87" s="4">
        <v>45045</v>
      </c>
      <c r="F87" s="4">
        <v>47610</v>
      </c>
      <c r="G87" s="2">
        <v>297384650</v>
      </c>
    </row>
    <row r="88" spans="1:7" x14ac:dyDescent="0.45">
      <c r="A88" s="5" t="s">
        <v>59</v>
      </c>
      <c r="B88" s="1" t="str">
        <f t="shared" ref="B88:B93" si="14">"Telecom "&amp;C88</f>
        <v xml:space="preserve">Telecom Equatorial Guinea  </v>
      </c>
      <c r="C88" s="1" t="s">
        <v>180</v>
      </c>
      <c r="D88" s="1" t="s">
        <v>7</v>
      </c>
      <c r="E88" s="4">
        <v>43838</v>
      </c>
      <c r="F88" s="4">
        <v>48809</v>
      </c>
      <c r="G88" s="2">
        <v>64839205</v>
      </c>
    </row>
    <row r="89" spans="1:7" x14ac:dyDescent="0.45">
      <c r="A89" s="5" t="s">
        <v>60</v>
      </c>
      <c r="B89" s="1" t="str">
        <f t="shared" si="14"/>
        <v xml:space="preserve">Telecom São Tomé and Príncipe  </v>
      </c>
      <c r="C89" s="1" t="s">
        <v>181</v>
      </c>
      <c r="D89" s="1" t="s">
        <v>7</v>
      </c>
      <c r="E89" s="4">
        <v>44733</v>
      </c>
      <c r="F89" s="4">
        <v>48333</v>
      </c>
      <c r="G89" s="2">
        <v>120394857</v>
      </c>
    </row>
    <row r="90" spans="1:7" x14ac:dyDescent="0.45">
      <c r="A90" s="5" t="s">
        <v>61</v>
      </c>
      <c r="B90" s="1" t="str">
        <f t="shared" si="14"/>
        <v xml:space="preserve">Telecom Cape Verde  </v>
      </c>
      <c r="C90" s="1" t="s">
        <v>182</v>
      </c>
      <c r="D90" s="1" t="s">
        <v>7</v>
      </c>
      <c r="E90" s="4">
        <v>45550</v>
      </c>
      <c r="F90" s="4">
        <v>48192</v>
      </c>
      <c r="G90" s="2">
        <v>257394801</v>
      </c>
    </row>
    <row r="91" spans="1:7" x14ac:dyDescent="0.45">
      <c r="A91" s="5" t="s">
        <v>62</v>
      </c>
      <c r="B91" s="1" t="str">
        <f t="shared" si="14"/>
        <v xml:space="preserve">Telecom Mauritania  </v>
      </c>
      <c r="C91" s="1" t="s">
        <v>183</v>
      </c>
      <c r="D91" s="1" t="s">
        <v>7</v>
      </c>
      <c r="E91" s="4">
        <v>44230</v>
      </c>
      <c r="F91" s="4">
        <v>46449</v>
      </c>
      <c r="G91" s="2">
        <v>98347520</v>
      </c>
    </row>
    <row r="92" spans="1:7" x14ac:dyDescent="0.45">
      <c r="A92" s="5" t="s">
        <v>63</v>
      </c>
      <c r="B92" s="1" t="str">
        <f t="shared" si="14"/>
        <v xml:space="preserve">Telecom Seychelles  </v>
      </c>
      <c r="C92" s="1" t="s">
        <v>184</v>
      </c>
      <c r="D92" s="1" t="s">
        <v>7</v>
      </c>
      <c r="E92" s="4">
        <v>45771</v>
      </c>
      <c r="F92" s="4">
        <v>49212</v>
      </c>
      <c r="G92" s="2">
        <v>139847502</v>
      </c>
    </row>
    <row r="93" spans="1:7" x14ac:dyDescent="0.45">
      <c r="A93" s="5" t="s">
        <v>64</v>
      </c>
      <c r="B93" s="1" t="str">
        <f t="shared" si="14"/>
        <v xml:space="preserve">Telecom Comoros  </v>
      </c>
      <c r="C93" s="1" t="s">
        <v>185</v>
      </c>
      <c r="D93" s="1" t="s">
        <v>7</v>
      </c>
      <c r="E93" s="4">
        <v>43657</v>
      </c>
      <c r="F93" s="4">
        <v>47528</v>
      </c>
      <c r="G93" s="2">
        <v>264839705</v>
      </c>
    </row>
    <row r="94" spans="1:7" x14ac:dyDescent="0.45">
      <c r="A94" s="5" t="s">
        <v>65</v>
      </c>
      <c r="B94" s="1" t="str">
        <f t="shared" ref="B94:B96" si="15">"Utility of "&amp;C94</f>
        <v xml:space="preserve">Utility of Mauritius  </v>
      </c>
      <c r="C94" s="1" t="s">
        <v>186</v>
      </c>
      <c r="D94" s="1" t="s">
        <v>7</v>
      </c>
      <c r="E94" s="4">
        <v>45074</v>
      </c>
      <c r="F94" s="4">
        <v>46940</v>
      </c>
      <c r="G94" s="2">
        <v>74839201</v>
      </c>
    </row>
    <row r="95" spans="1:7" x14ac:dyDescent="0.45">
      <c r="A95" s="5" t="s">
        <v>66</v>
      </c>
      <c r="B95" s="1" t="str">
        <f t="shared" si="15"/>
        <v xml:space="preserve">Utility of Lesotho  </v>
      </c>
      <c r="C95" s="1" t="s">
        <v>187</v>
      </c>
      <c r="D95" s="1" t="s">
        <v>7</v>
      </c>
      <c r="E95" s="4">
        <v>44079</v>
      </c>
      <c r="F95" s="4">
        <v>48873</v>
      </c>
      <c r="G95" s="2">
        <v>193847560</v>
      </c>
    </row>
    <row r="96" spans="1:7" x14ac:dyDescent="0.45">
      <c r="A96" s="5" t="s">
        <v>67</v>
      </c>
      <c r="B96" s="1" t="str">
        <f t="shared" si="15"/>
        <v xml:space="preserve">Utility of Eswatini  </v>
      </c>
      <c r="C96" s="1" t="s">
        <v>188</v>
      </c>
      <c r="D96" s="1" t="s">
        <v>7</v>
      </c>
      <c r="E96" s="4">
        <v>44914</v>
      </c>
      <c r="F96" s="4">
        <v>47857</v>
      </c>
      <c r="G96" s="2">
        <v>284759301</v>
      </c>
    </row>
    <row r="97" spans="1:7" x14ac:dyDescent="0.45">
      <c r="A97" s="5" t="s">
        <v>68</v>
      </c>
      <c r="B97" s="1" t="str">
        <f t="shared" ref="B97:B112" si="16">"Government of "&amp;C97</f>
        <v xml:space="preserve">Government of Kenya  </v>
      </c>
      <c r="C97" s="1" t="s">
        <v>117</v>
      </c>
      <c r="D97" s="1" t="s">
        <v>7</v>
      </c>
      <c r="E97" s="4">
        <v>45301</v>
      </c>
      <c r="F97" s="4">
        <v>46537</v>
      </c>
      <c r="G97" s="2">
        <v>57384920</v>
      </c>
    </row>
    <row r="98" spans="1:7" x14ac:dyDescent="0.45">
      <c r="A98" s="5" t="s">
        <v>69</v>
      </c>
      <c r="B98" s="1" t="str">
        <f t="shared" si="16"/>
        <v xml:space="preserve">Government of Ghana  </v>
      </c>
      <c r="C98" s="1" t="s">
        <v>120</v>
      </c>
      <c r="D98" s="1" t="s">
        <v>7</v>
      </c>
      <c r="E98" s="4">
        <v>43186</v>
      </c>
      <c r="F98" s="4">
        <v>48285</v>
      </c>
      <c r="G98" s="2">
        <v>149283760</v>
      </c>
    </row>
    <row r="99" spans="1:7" x14ac:dyDescent="0.45">
      <c r="A99" s="5" t="s">
        <v>70</v>
      </c>
      <c r="B99" s="1" t="str">
        <f t="shared" si="16"/>
        <v xml:space="preserve">Government of Nigeria  </v>
      </c>
      <c r="C99" s="1" t="s">
        <v>126</v>
      </c>
      <c r="D99" s="1" t="s">
        <v>7</v>
      </c>
      <c r="E99" s="4">
        <v>44422</v>
      </c>
      <c r="F99" s="4">
        <v>49180</v>
      </c>
      <c r="G99" s="2">
        <v>230948756</v>
      </c>
    </row>
    <row r="100" spans="1:7" x14ac:dyDescent="0.45">
      <c r="A100" s="5" t="s">
        <v>71</v>
      </c>
      <c r="B100" s="1" t="str">
        <f t="shared" si="16"/>
        <v xml:space="preserve">Government of Morocco  </v>
      </c>
      <c r="C100" s="1" t="s">
        <v>122</v>
      </c>
      <c r="D100" s="1" t="s">
        <v>7</v>
      </c>
      <c r="E100" s="4">
        <v>45779</v>
      </c>
      <c r="F100" s="4">
        <v>47427</v>
      </c>
      <c r="G100" s="2">
        <v>67483920</v>
      </c>
    </row>
    <row r="101" spans="1:7" x14ac:dyDescent="0.45">
      <c r="A101" s="5" t="s">
        <v>72</v>
      </c>
      <c r="B101" s="1" t="str">
        <f t="shared" si="16"/>
        <v xml:space="preserve">Government of Egypt  </v>
      </c>
      <c r="C101" s="1" t="s">
        <v>149</v>
      </c>
      <c r="D101" s="1" t="s">
        <v>7</v>
      </c>
      <c r="E101" s="4">
        <v>44772</v>
      </c>
      <c r="F101" s="4">
        <v>47590</v>
      </c>
      <c r="G101" s="2">
        <v>198374502</v>
      </c>
    </row>
    <row r="102" spans="1:7" x14ac:dyDescent="0.45">
      <c r="A102" s="5" t="s">
        <v>73</v>
      </c>
      <c r="B102" s="1" t="str">
        <f t="shared" ref="B102:B105" si="17">"Utility of "&amp;C102</f>
        <v xml:space="preserve">Utility of Algeria  </v>
      </c>
      <c r="C102" s="1" t="s">
        <v>150</v>
      </c>
      <c r="D102" s="1" t="s">
        <v>7</v>
      </c>
      <c r="E102" s="4">
        <v>43724</v>
      </c>
      <c r="F102" s="4">
        <v>48027</v>
      </c>
      <c r="G102" s="2">
        <v>259384701</v>
      </c>
    </row>
    <row r="103" spans="1:7" x14ac:dyDescent="0.45">
      <c r="A103" s="5" t="s">
        <v>74</v>
      </c>
      <c r="B103" s="1" t="str">
        <f t="shared" si="17"/>
        <v xml:space="preserve">Utility of Tunisia  </v>
      </c>
      <c r="C103" s="1" t="s">
        <v>123</v>
      </c>
      <c r="D103" s="1" t="s">
        <v>7</v>
      </c>
      <c r="E103" s="4">
        <v>44933</v>
      </c>
      <c r="F103" s="4">
        <v>46998</v>
      </c>
      <c r="G103" s="2">
        <v>38475029</v>
      </c>
    </row>
    <row r="104" spans="1:7" x14ac:dyDescent="0.45">
      <c r="A104" s="5" t="s">
        <v>75</v>
      </c>
      <c r="B104" s="1" t="str">
        <f t="shared" si="17"/>
        <v xml:space="preserve">Utility of South Africa  </v>
      </c>
      <c r="C104" s="1" t="s">
        <v>151</v>
      </c>
      <c r="D104" s="1" t="s">
        <v>7</v>
      </c>
      <c r="E104" s="4">
        <v>45587</v>
      </c>
      <c r="F104" s="4">
        <v>48598</v>
      </c>
      <c r="G104" s="2">
        <v>94837205</v>
      </c>
    </row>
    <row r="105" spans="1:7" x14ac:dyDescent="0.45">
      <c r="A105" s="5" t="s">
        <v>76</v>
      </c>
      <c r="B105" s="1" t="str">
        <f t="shared" si="17"/>
        <v xml:space="preserve">Utility of Namibia  </v>
      </c>
      <c r="C105" s="1" t="s">
        <v>152</v>
      </c>
      <c r="D105" s="1" t="s">
        <v>7</v>
      </c>
      <c r="E105" s="4">
        <v>43991</v>
      </c>
      <c r="F105" s="4">
        <v>49072</v>
      </c>
      <c r="G105" s="2">
        <v>167394820</v>
      </c>
    </row>
    <row r="106" spans="1:7" x14ac:dyDescent="0.45">
      <c r="A106" s="5" t="s">
        <v>77</v>
      </c>
      <c r="B106" s="1" t="str">
        <f t="shared" si="16"/>
        <v xml:space="preserve">Government of Botswana  </v>
      </c>
      <c r="C106" s="1" t="s">
        <v>153</v>
      </c>
      <c r="D106" s="1" t="s">
        <v>7</v>
      </c>
      <c r="E106" s="4">
        <v>44645</v>
      </c>
      <c r="F106" s="4">
        <v>48541</v>
      </c>
      <c r="G106" s="2">
        <v>283947560</v>
      </c>
    </row>
    <row r="107" spans="1:7" x14ac:dyDescent="0.45">
      <c r="A107" s="5" t="s">
        <v>78</v>
      </c>
      <c r="B107" s="1" t="str">
        <f t="shared" si="16"/>
        <v xml:space="preserve">Government of Angola  </v>
      </c>
      <c r="C107" s="1" t="s">
        <v>154</v>
      </c>
      <c r="D107" s="1" t="s">
        <v>7</v>
      </c>
      <c r="E107" s="4">
        <v>45675</v>
      </c>
      <c r="F107" s="4">
        <v>46579</v>
      </c>
      <c r="G107" s="2">
        <v>54930287</v>
      </c>
    </row>
    <row r="108" spans="1:7" x14ac:dyDescent="0.45">
      <c r="A108" s="5" t="s">
        <v>79</v>
      </c>
      <c r="B108" s="1" t="str">
        <f t="shared" si="16"/>
        <v xml:space="preserve">Government of Mozambique  </v>
      </c>
      <c r="C108" s="1" t="s">
        <v>155</v>
      </c>
      <c r="D108" s="1" t="s">
        <v>7</v>
      </c>
      <c r="E108" s="4">
        <v>43316</v>
      </c>
      <c r="F108" s="4">
        <v>47883</v>
      </c>
      <c r="G108" s="2">
        <v>209384750</v>
      </c>
    </row>
    <row r="109" spans="1:7" x14ac:dyDescent="0.45">
      <c r="A109" s="5" t="s">
        <v>80</v>
      </c>
      <c r="B109" s="1" t="str">
        <f t="shared" si="16"/>
        <v xml:space="preserve">Government of Madagascar  </v>
      </c>
      <c r="C109" s="1" t="s">
        <v>156</v>
      </c>
      <c r="D109" s="1" t="s">
        <v>7</v>
      </c>
      <c r="E109" s="4">
        <v>45291</v>
      </c>
      <c r="F109" s="4">
        <v>49243</v>
      </c>
      <c r="G109" s="2">
        <v>174839260</v>
      </c>
    </row>
    <row r="110" spans="1:7" x14ac:dyDescent="0.45">
      <c r="A110" s="5" t="s">
        <v>81</v>
      </c>
      <c r="B110" s="1" t="str">
        <f t="shared" si="16"/>
        <v xml:space="preserve">Government of Cameroon  </v>
      </c>
      <c r="C110" s="1" t="s">
        <v>157</v>
      </c>
      <c r="D110" s="1" t="s">
        <v>7</v>
      </c>
      <c r="E110" s="4">
        <v>44268</v>
      </c>
      <c r="F110" s="4">
        <v>47192</v>
      </c>
      <c r="G110" s="2">
        <v>294857320</v>
      </c>
    </row>
    <row r="111" spans="1:7" x14ac:dyDescent="0.45">
      <c r="A111" s="6" t="s">
        <v>82</v>
      </c>
      <c r="B111" s="1" t="str">
        <f t="shared" si="16"/>
        <v xml:space="preserve">Government of Rwanda  </v>
      </c>
      <c r="C111" s="1" t="s">
        <v>158</v>
      </c>
      <c r="D111" s="1" t="s">
        <v>7</v>
      </c>
      <c r="E111" s="4">
        <v>45616</v>
      </c>
      <c r="F111" s="4">
        <v>47824</v>
      </c>
      <c r="G111" s="2">
        <v>68394750</v>
      </c>
    </row>
    <row r="112" spans="1:7" x14ac:dyDescent="0.45">
      <c r="A112" s="6" t="s">
        <v>82</v>
      </c>
      <c r="B112" s="1" t="str">
        <f t="shared" si="16"/>
        <v xml:space="preserve">Government of Burundi  </v>
      </c>
      <c r="C112" s="1" t="s">
        <v>159</v>
      </c>
      <c r="D112" s="1" t="s">
        <v>7</v>
      </c>
      <c r="E112" s="4">
        <v>45616</v>
      </c>
      <c r="F112" s="4">
        <v>47824</v>
      </c>
      <c r="G112" s="2">
        <v>120394856</v>
      </c>
    </row>
    <row r="113" spans="1:7" x14ac:dyDescent="0.45">
      <c r="A113" s="6" t="s">
        <v>82</v>
      </c>
      <c r="B113" s="1" t="str">
        <f t="shared" ref="B113" si="18">"Telecom "&amp;C113</f>
        <v xml:space="preserve">Telecom Malawi  </v>
      </c>
      <c r="C113" s="1" t="s">
        <v>160</v>
      </c>
      <c r="D113" s="1" t="s">
        <v>7</v>
      </c>
      <c r="E113" s="4">
        <v>45616</v>
      </c>
      <c r="F113" s="4">
        <v>47824</v>
      </c>
      <c r="G113" s="2">
        <v>257394805</v>
      </c>
    </row>
    <row r="114" spans="1:7" x14ac:dyDescent="0.45">
      <c r="A114" s="6" t="s">
        <v>82</v>
      </c>
      <c r="B114" s="1" t="str">
        <f t="shared" ref="B114:B118" si="19">"Utility of "&amp;C114</f>
        <v xml:space="preserve">Utility of Zambia  </v>
      </c>
      <c r="C114" s="1" t="s">
        <v>134</v>
      </c>
      <c r="D114" s="1" t="s">
        <v>7</v>
      </c>
      <c r="E114" s="4">
        <v>45616</v>
      </c>
      <c r="F114" s="4">
        <v>47824</v>
      </c>
      <c r="G114" s="2">
        <v>87349502</v>
      </c>
    </row>
    <row r="115" spans="1:7" x14ac:dyDescent="0.45">
      <c r="A115" s="6" t="s">
        <v>82</v>
      </c>
      <c r="B115" s="1" t="str">
        <f t="shared" si="19"/>
        <v xml:space="preserve">Utility of Zimbabwe  </v>
      </c>
      <c r="C115" s="1" t="s">
        <v>135</v>
      </c>
      <c r="D115" s="1" t="s">
        <v>7</v>
      </c>
      <c r="E115" s="4">
        <v>45616</v>
      </c>
      <c r="F115" s="4">
        <v>47824</v>
      </c>
      <c r="G115" s="2">
        <v>139284705</v>
      </c>
    </row>
    <row r="116" spans="1:7" x14ac:dyDescent="0.45">
      <c r="A116" s="6" t="s">
        <v>82</v>
      </c>
      <c r="B116" s="1" t="str">
        <f t="shared" si="19"/>
        <v xml:space="preserve">Utility of Uganda  </v>
      </c>
      <c r="C116" s="1" t="s">
        <v>131</v>
      </c>
      <c r="D116" s="1" t="s">
        <v>7</v>
      </c>
      <c r="E116" s="4">
        <v>45616</v>
      </c>
      <c r="F116" s="4">
        <v>47824</v>
      </c>
      <c r="G116" s="2">
        <v>298374605</v>
      </c>
    </row>
    <row r="117" spans="1:7" x14ac:dyDescent="0.45">
      <c r="A117" s="6" t="s">
        <v>82</v>
      </c>
      <c r="B117" s="1" t="str">
        <f t="shared" si="19"/>
        <v xml:space="preserve">Utility of Tanzania  </v>
      </c>
      <c r="C117" s="1" t="s">
        <v>130</v>
      </c>
      <c r="D117" s="1" t="s">
        <v>7</v>
      </c>
      <c r="E117" s="4">
        <v>45616</v>
      </c>
      <c r="F117" s="4">
        <v>47824</v>
      </c>
      <c r="G117" s="2">
        <v>54783902</v>
      </c>
    </row>
    <row r="118" spans="1:7" x14ac:dyDescent="0.45">
      <c r="A118" s="6" t="s">
        <v>82</v>
      </c>
      <c r="B118" s="1" t="str">
        <f t="shared" si="19"/>
        <v xml:space="preserve">Utility of Ethiopia  </v>
      </c>
      <c r="C118" s="1" t="s">
        <v>127</v>
      </c>
      <c r="D118" s="1" t="s">
        <v>7</v>
      </c>
      <c r="E118" s="4">
        <v>45616</v>
      </c>
      <c r="F118" s="4">
        <v>47824</v>
      </c>
      <c r="G118" s="2">
        <v>183947250</v>
      </c>
    </row>
    <row r="119" spans="1:7" x14ac:dyDescent="0.45">
      <c r="A119" s="6" t="s">
        <v>82</v>
      </c>
      <c r="B119" s="1" t="str">
        <f t="shared" ref="B119:B135" si="20">"Government of "&amp;C119</f>
        <v xml:space="preserve">Government of Senegal  </v>
      </c>
      <c r="C119" s="1" t="s">
        <v>138</v>
      </c>
      <c r="D119" s="1" t="s">
        <v>7</v>
      </c>
      <c r="E119" s="4">
        <v>45616</v>
      </c>
      <c r="F119" s="4">
        <v>47824</v>
      </c>
      <c r="G119" s="2">
        <v>264839750</v>
      </c>
    </row>
    <row r="120" spans="1:7" x14ac:dyDescent="0.45">
      <c r="A120" s="6" t="s">
        <v>82</v>
      </c>
      <c r="B120" s="1" t="str">
        <f t="shared" si="20"/>
        <v xml:space="preserve">Government of Ivory Coast  </v>
      </c>
      <c r="C120" s="1" t="s">
        <v>139</v>
      </c>
      <c r="D120" s="1" t="s">
        <v>7</v>
      </c>
      <c r="E120" s="4">
        <v>45616</v>
      </c>
      <c r="F120" s="4">
        <v>47824</v>
      </c>
      <c r="G120" s="2">
        <v>73948502</v>
      </c>
    </row>
    <row r="121" spans="1:7" x14ac:dyDescent="0.45">
      <c r="A121" s="6" t="s">
        <v>82</v>
      </c>
      <c r="B121" s="1" t="str">
        <f t="shared" si="20"/>
        <v xml:space="preserve">Government of Togo  </v>
      </c>
      <c r="C121" s="1" t="s">
        <v>174</v>
      </c>
      <c r="D121" s="1" t="s">
        <v>7</v>
      </c>
      <c r="E121" s="4">
        <v>45616</v>
      </c>
      <c r="F121" s="4">
        <v>47824</v>
      </c>
      <c r="G121" s="2">
        <v>194857320</v>
      </c>
    </row>
    <row r="122" spans="1:7" x14ac:dyDescent="0.45">
      <c r="A122" s="6" t="s">
        <v>82</v>
      </c>
      <c r="B122" s="1" t="str">
        <f t="shared" si="20"/>
        <v xml:space="preserve">Government of Benin  </v>
      </c>
      <c r="C122" s="1" t="s">
        <v>175</v>
      </c>
      <c r="D122" s="1" t="s">
        <v>7</v>
      </c>
      <c r="E122" s="4">
        <v>45616</v>
      </c>
      <c r="F122" s="4">
        <v>47824</v>
      </c>
      <c r="G122" s="2">
        <v>58203974</v>
      </c>
    </row>
    <row r="123" spans="1:7" x14ac:dyDescent="0.45">
      <c r="A123" s="6" t="s">
        <v>82</v>
      </c>
      <c r="B123" s="1" t="str">
        <f t="shared" si="20"/>
        <v xml:space="preserve">Government of Gabon  </v>
      </c>
      <c r="C123" s="1" t="s">
        <v>176</v>
      </c>
      <c r="D123" s="1" t="s">
        <v>7</v>
      </c>
      <c r="E123" s="4">
        <v>45616</v>
      </c>
      <c r="F123" s="4">
        <v>47824</v>
      </c>
      <c r="G123" s="2">
        <v>239485706</v>
      </c>
    </row>
    <row r="124" spans="1:7" x14ac:dyDescent="0.45">
      <c r="A124" s="5" t="s">
        <v>83</v>
      </c>
      <c r="B124" s="1" t="str">
        <f t="shared" si="20"/>
        <v xml:space="preserve">Government of Congo  </v>
      </c>
      <c r="C124" s="1" t="s">
        <v>177</v>
      </c>
      <c r="D124" s="1" t="s">
        <v>7</v>
      </c>
      <c r="E124" s="4">
        <v>44377</v>
      </c>
      <c r="F124" s="4">
        <v>48314</v>
      </c>
      <c r="G124" s="2">
        <v>168394250</v>
      </c>
    </row>
    <row r="125" spans="1:7" x14ac:dyDescent="0.45">
      <c r="A125" s="5" t="s">
        <v>84</v>
      </c>
      <c r="B125" s="1" t="str">
        <f t="shared" si="20"/>
        <v xml:space="preserve">Government of DR Congo  </v>
      </c>
      <c r="C125" s="1" t="s">
        <v>178</v>
      </c>
      <c r="D125" s="1" t="s">
        <v>7</v>
      </c>
      <c r="E125" s="4">
        <v>44179</v>
      </c>
      <c r="F125" s="4">
        <v>47538</v>
      </c>
      <c r="G125" s="2">
        <v>297384605</v>
      </c>
    </row>
    <row r="126" spans="1:7" x14ac:dyDescent="0.45">
      <c r="A126" s="5" t="s">
        <v>85</v>
      </c>
      <c r="B126" s="1" t="str">
        <f t="shared" si="20"/>
        <v xml:space="preserve">Government of Poland  </v>
      </c>
      <c r="C126" s="1" t="s">
        <v>118</v>
      </c>
      <c r="D126" s="1" t="s">
        <v>7</v>
      </c>
      <c r="E126" s="4">
        <v>45190</v>
      </c>
      <c r="F126" s="4">
        <v>47033</v>
      </c>
      <c r="G126" s="2">
        <v>64839250</v>
      </c>
    </row>
    <row r="127" spans="1:7" x14ac:dyDescent="0.45">
      <c r="A127" s="5" t="s">
        <v>86</v>
      </c>
      <c r="B127" s="1" t="str">
        <f t="shared" ref="B127:B128" si="21">"Utility of "&amp;C127</f>
        <v xml:space="preserve">Utility of Romania  </v>
      </c>
      <c r="C127" s="1" t="s">
        <v>119</v>
      </c>
      <c r="D127" s="1" t="s">
        <v>7</v>
      </c>
      <c r="E127" s="4">
        <v>44660</v>
      </c>
      <c r="F127" s="4">
        <v>49168</v>
      </c>
      <c r="G127" s="2">
        <v>120394875</v>
      </c>
    </row>
    <row r="128" spans="1:7" x14ac:dyDescent="0.45">
      <c r="A128" s="5" t="s">
        <v>87</v>
      </c>
      <c r="B128" s="1" t="str">
        <f t="shared" si="21"/>
        <v xml:space="preserve">Utility of Bulgaria  </v>
      </c>
      <c r="C128" s="1" t="s">
        <v>125</v>
      </c>
      <c r="D128" s="1" t="s">
        <v>7</v>
      </c>
      <c r="E128" s="4">
        <v>45864</v>
      </c>
      <c r="F128" s="4">
        <v>48718</v>
      </c>
      <c r="G128" s="2">
        <v>257483902</v>
      </c>
    </row>
    <row r="129" spans="1:7" x14ac:dyDescent="0.45">
      <c r="A129" s="5" t="s">
        <v>88</v>
      </c>
      <c r="B129" s="1" t="str">
        <f t="shared" si="20"/>
        <v xml:space="preserve">Government of Hungary  </v>
      </c>
      <c r="C129" s="1" t="s">
        <v>124</v>
      </c>
      <c r="D129" s="1" t="s">
        <v>7</v>
      </c>
      <c r="E129" s="4">
        <v>43603</v>
      </c>
      <c r="F129" s="4">
        <v>47938</v>
      </c>
      <c r="G129" s="2">
        <v>98347502</v>
      </c>
    </row>
    <row r="130" spans="1:7" x14ac:dyDescent="0.45">
      <c r="A130" s="5" t="s">
        <v>89</v>
      </c>
      <c r="B130" s="1" t="str">
        <f t="shared" si="20"/>
        <v xml:space="preserve">Government of Czechia  </v>
      </c>
      <c r="C130" s="1" t="s">
        <v>128</v>
      </c>
      <c r="D130" s="1" t="s">
        <v>7</v>
      </c>
      <c r="E130" s="4">
        <v>45603</v>
      </c>
      <c r="F130" s="4">
        <v>49129</v>
      </c>
      <c r="G130" s="2">
        <v>139847520</v>
      </c>
    </row>
    <row r="131" spans="1:7" x14ac:dyDescent="0.45">
      <c r="A131" s="5" t="s">
        <v>90</v>
      </c>
      <c r="B131" s="1" t="str">
        <f t="shared" si="20"/>
        <v xml:space="preserve">Government of Slovakia  </v>
      </c>
      <c r="C131" s="1" t="s">
        <v>129</v>
      </c>
      <c r="D131" s="1" t="s">
        <v>7</v>
      </c>
      <c r="E131" s="4">
        <v>44256</v>
      </c>
      <c r="F131" s="4">
        <v>48360</v>
      </c>
      <c r="G131" s="2">
        <v>264839705</v>
      </c>
    </row>
    <row r="132" spans="1:7" x14ac:dyDescent="0.45">
      <c r="A132" s="5" t="s">
        <v>91</v>
      </c>
      <c r="B132" s="1" t="str">
        <f t="shared" si="20"/>
        <v xml:space="preserve">Government of Croatia  </v>
      </c>
      <c r="C132" s="1" t="s">
        <v>132</v>
      </c>
      <c r="D132" s="1" t="s">
        <v>7</v>
      </c>
      <c r="E132" s="4">
        <v>45282</v>
      </c>
      <c r="F132" s="4">
        <v>47740</v>
      </c>
      <c r="G132" s="2">
        <v>74839210</v>
      </c>
    </row>
    <row r="133" spans="1:7" x14ac:dyDescent="0.45">
      <c r="A133" s="5" t="s">
        <v>92</v>
      </c>
      <c r="B133" s="1" t="str">
        <f t="shared" si="20"/>
        <v xml:space="preserve">Government of Serbia  </v>
      </c>
      <c r="C133" s="1" t="s">
        <v>121</v>
      </c>
      <c r="D133" s="1" t="s">
        <v>7</v>
      </c>
      <c r="E133" s="4">
        <v>43961</v>
      </c>
      <c r="F133" s="4">
        <v>47151</v>
      </c>
      <c r="G133" s="2">
        <v>193847506</v>
      </c>
    </row>
    <row r="134" spans="1:7" x14ac:dyDescent="0.45">
      <c r="A134" s="5" t="s">
        <v>93</v>
      </c>
      <c r="B134" s="1" t="str">
        <f t="shared" si="20"/>
        <v xml:space="preserve">Government of Albania  </v>
      </c>
      <c r="C134" s="1" t="s">
        <v>133</v>
      </c>
      <c r="D134" s="1" t="s">
        <v>7</v>
      </c>
      <c r="E134" s="4">
        <v>45322</v>
      </c>
      <c r="F134" s="4">
        <v>48875</v>
      </c>
      <c r="G134" s="2">
        <v>284759310</v>
      </c>
    </row>
    <row r="135" spans="1:7" x14ac:dyDescent="0.45">
      <c r="A135" s="5" t="s">
        <v>94</v>
      </c>
      <c r="B135" s="1" t="str">
        <f t="shared" si="20"/>
        <v xml:space="preserve">Government of Lithuania  </v>
      </c>
      <c r="C135" s="1" t="s">
        <v>140</v>
      </c>
      <c r="D135" s="1" t="s">
        <v>7</v>
      </c>
      <c r="E135" s="4">
        <v>44789</v>
      </c>
      <c r="F135" s="4">
        <v>47946</v>
      </c>
      <c r="G135" s="2">
        <v>57384902</v>
      </c>
    </row>
    <row r="136" spans="1:7" x14ac:dyDescent="0.45">
      <c r="A136" s="5" t="s">
        <v>95</v>
      </c>
      <c r="B136" s="1" t="str">
        <f t="shared" ref="B136:B139" si="22">"Telecom "&amp;C136</f>
        <v xml:space="preserve">Telecom Latvia  </v>
      </c>
      <c r="C136" s="1" t="s">
        <v>141</v>
      </c>
      <c r="D136" s="1" t="s">
        <v>7</v>
      </c>
      <c r="E136" s="4">
        <v>45716</v>
      </c>
      <c r="F136" s="4">
        <v>49265</v>
      </c>
      <c r="G136" s="2">
        <v>149283706</v>
      </c>
    </row>
    <row r="137" spans="1:7" x14ac:dyDescent="0.45">
      <c r="A137" s="5" t="s">
        <v>96</v>
      </c>
      <c r="B137" s="1" t="str">
        <f t="shared" si="22"/>
        <v xml:space="preserve">Telecom Estonia  </v>
      </c>
      <c r="C137" s="1" t="s">
        <v>142</v>
      </c>
      <c r="D137" s="1" t="s">
        <v>7</v>
      </c>
      <c r="E137" s="4">
        <v>43255</v>
      </c>
      <c r="F137" s="4">
        <v>46604</v>
      </c>
      <c r="G137" s="2">
        <v>230948765</v>
      </c>
    </row>
    <row r="138" spans="1:7" x14ac:dyDescent="0.45">
      <c r="A138" s="5" t="s">
        <v>97</v>
      </c>
      <c r="B138" s="1" t="str">
        <f t="shared" si="22"/>
        <v xml:space="preserve">Telecom Kosovo  </v>
      </c>
      <c r="C138" s="1" t="s">
        <v>143</v>
      </c>
      <c r="D138" s="1" t="s">
        <v>7</v>
      </c>
      <c r="E138" s="4">
        <v>44452</v>
      </c>
      <c r="F138" s="4">
        <v>47504</v>
      </c>
      <c r="G138" s="2">
        <v>67483902</v>
      </c>
    </row>
    <row r="139" spans="1:7" x14ac:dyDescent="0.45">
      <c r="A139" s="6" t="s">
        <v>98</v>
      </c>
      <c r="B139" s="1" t="str">
        <f t="shared" si="22"/>
        <v xml:space="preserve">Telecom Montenegro  </v>
      </c>
      <c r="C139" s="1" t="s">
        <v>144</v>
      </c>
      <c r="D139" s="1" t="s">
        <v>7</v>
      </c>
      <c r="E139" s="4">
        <v>44951</v>
      </c>
      <c r="F139" s="4">
        <v>48487</v>
      </c>
      <c r="G139" s="2">
        <v>198374520</v>
      </c>
    </row>
    <row r="140" spans="1:7" x14ac:dyDescent="0.45">
      <c r="A140" s="6" t="s">
        <v>98</v>
      </c>
      <c r="B140" s="1" t="str">
        <f t="shared" ref="B140:B168" si="23">"Government of "&amp;C140</f>
        <v xml:space="preserve">Government of Moldova  </v>
      </c>
      <c r="C140" s="1" t="s">
        <v>145</v>
      </c>
      <c r="D140" s="1" t="s">
        <v>7</v>
      </c>
      <c r="E140" s="4">
        <v>44951</v>
      </c>
      <c r="F140" s="4">
        <v>48487</v>
      </c>
      <c r="G140" s="2">
        <v>259384710</v>
      </c>
    </row>
    <row r="141" spans="1:7" x14ac:dyDescent="0.45">
      <c r="A141" s="6" t="s">
        <v>98</v>
      </c>
      <c r="B141" s="1" t="str">
        <f t="shared" si="23"/>
        <v xml:space="preserve">Government of Georgia  </v>
      </c>
      <c r="C141" s="1" t="s">
        <v>146</v>
      </c>
      <c r="D141" s="1" t="s">
        <v>7</v>
      </c>
      <c r="E141" s="4">
        <v>44951</v>
      </c>
      <c r="F141" s="4">
        <v>48487</v>
      </c>
      <c r="G141" s="2">
        <v>38475092</v>
      </c>
    </row>
    <row r="142" spans="1:7" x14ac:dyDescent="0.45">
      <c r="A142" s="6" t="s">
        <v>98</v>
      </c>
      <c r="B142" s="1" t="str">
        <f t="shared" si="23"/>
        <v xml:space="preserve">Government of Armenia  </v>
      </c>
      <c r="C142" s="1" t="s">
        <v>147</v>
      </c>
      <c r="D142" s="1" t="s">
        <v>7</v>
      </c>
      <c r="E142" s="4">
        <v>44951</v>
      </c>
      <c r="F142" s="4">
        <v>48487</v>
      </c>
      <c r="G142" s="2">
        <v>94837250</v>
      </c>
    </row>
    <row r="143" spans="1:7" x14ac:dyDescent="0.45">
      <c r="A143" s="6" t="s">
        <v>98</v>
      </c>
      <c r="B143" s="1" t="str">
        <f t="shared" si="23"/>
        <v xml:space="preserve">Government of Azerbaijan  </v>
      </c>
      <c r="C143" s="1" t="s">
        <v>148</v>
      </c>
      <c r="D143" s="1" t="s">
        <v>7</v>
      </c>
      <c r="E143" s="4">
        <v>44951</v>
      </c>
      <c r="F143" s="4">
        <v>48487</v>
      </c>
      <c r="G143" s="2">
        <v>167394802</v>
      </c>
    </row>
    <row r="144" spans="1:7" x14ac:dyDescent="0.45">
      <c r="A144" s="6" t="s">
        <v>98</v>
      </c>
      <c r="B144" s="1" t="str">
        <f t="shared" si="23"/>
        <v xml:space="preserve">Government of Bosnia and Herzegovina  </v>
      </c>
      <c r="C144" s="1" t="s">
        <v>136</v>
      </c>
      <c r="D144" s="1" t="s">
        <v>7</v>
      </c>
      <c r="E144" s="4">
        <v>44951</v>
      </c>
      <c r="F144" s="4">
        <v>48487</v>
      </c>
      <c r="G144" s="2">
        <v>283947506</v>
      </c>
    </row>
    <row r="145" spans="1:7" x14ac:dyDescent="0.45">
      <c r="A145" s="6" t="s">
        <v>98</v>
      </c>
      <c r="B145" s="1" t="str">
        <f t="shared" si="23"/>
        <v xml:space="preserve">Government of North Macedonia  </v>
      </c>
      <c r="C145" s="1" t="s">
        <v>137</v>
      </c>
      <c r="D145" s="1" t="s">
        <v>7</v>
      </c>
      <c r="E145" s="4">
        <v>44951</v>
      </c>
      <c r="F145" s="4">
        <v>48487</v>
      </c>
      <c r="G145" s="2">
        <v>54930278</v>
      </c>
    </row>
    <row r="146" spans="1:7" x14ac:dyDescent="0.45">
      <c r="A146" s="6" t="s">
        <v>98</v>
      </c>
      <c r="B146" s="1" t="str">
        <f t="shared" si="23"/>
        <v xml:space="preserve">Government of Poland  </v>
      </c>
      <c r="C146" s="1" t="s">
        <v>118</v>
      </c>
      <c r="D146" s="1" t="s">
        <v>7</v>
      </c>
      <c r="E146" s="4">
        <v>44951</v>
      </c>
      <c r="F146" s="4">
        <v>48487</v>
      </c>
      <c r="G146" s="2">
        <v>209384705</v>
      </c>
    </row>
    <row r="147" spans="1:7" x14ac:dyDescent="0.45">
      <c r="A147" s="5" t="s">
        <v>99</v>
      </c>
      <c r="B147" s="1" t="str">
        <f t="shared" si="23"/>
        <v xml:space="preserve">Government of Romania  </v>
      </c>
      <c r="C147" s="1" t="s">
        <v>119</v>
      </c>
      <c r="D147" s="1" t="s">
        <v>7</v>
      </c>
      <c r="E147" s="4">
        <v>43901</v>
      </c>
      <c r="F147" s="4">
        <v>48858</v>
      </c>
      <c r="G147" s="2">
        <v>174839206</v>
      </c>
    </row>
    <row r="148" spans="1:7" x14ac:dyDescent="0.45">
      <c r="A148" s="5" t="s">
        <v>100</v>
      </c>
      <c r="B148" s="1" t="str">
        <f t="shared" si="23"/>
        <v xml:space="preserve">Government of Hungary  </v>
      </c>
      <c r="C148" s="1" t="s">
        <v>124</v>
      </c>
      <c r="D148" s="1" t="s">
        <v>7</v>
      </c>
      <c r="E148" s="4">
        <v>45470</v>
      </c>
      <c r="F148" s="4">
        <v>46416</v>
      </c>
      <c r="G148" s="2">
        <v>294857302</v>
      </c>
    </row>
    <row r="149" spans="1:7" x14ac:dyDescent="0.45">
      <c r="A149" s="5" t="s">
        <v>101</v>
      </c>
      <c r="B149" s="1" t="str">
        <f t="shared" si="23"/>
        <v xml:space="preserve">Government of Bulgaria  </v>
      </c>
      <c r="C149" s="1" t="s">
        <v>125</v>
      </c>
      <c r="D149" s="1" t="s">
        <v>7</v>
      </c>
      <c r="E149" s="4">
        <v>44913</v>
      </c>
      <c r="F149" s="4">
        <v>48439</v>
      </c>
      <c r="G149" s="2">
        <v>68394705</v>
      </c>
    </row>
    <row r="150" spans="1:7" x14ac:dyDescent="0.45">
      <c r="A150" s="5" t="s">
        <v>102</v>
      </c>
      <c r="B150" s="1" t="str">
        <f t="shared" si="23"/>
        <v xml:space="preserve">Government of Czechia  </v>
      </c>
      <c r="C150" s="1" t="s">
        <v>128</v>
      </c>
      <c r="D150" s="1" t="s">
        <v>7</v>
      </c>
      <c r="E150" s="4">
        <v>44386</v>
      </c>
      <c r="F150" s="4">
        <v>49023</v>
      </c>
      <c r="G150" s="2">
        <v>120394865</v>
      </c>
    </row>
    <row r="151" spans="1:7" x14ac:dyDescent="0.45">
      <c r="A151" s="5" t="s">
        <v>103</v>
      </c>
      <c r="B151" s="1" t="str">
        <f t="shared" si="23"/>
        <v xml:space="preserve">Government of Slovakia  </v>
      </c>
      <c r="C151" s="1" t="s">
        <v>129</v>
      </c>
      <c r="D151" s="1" t="s">
        <v>7</v>
      </c>
      <c r="E151" s="4">
        <v>45681</v>
      </c>
      <c r="F151" s="4">
        <v>48030</v>
      </c>
      <c r="G151" s="2">
        <v>257394850</v>
      </c>
    </row>
    <row r="152" spans="1:7" x14ac:dyDescent="0.45">
      <c r="A152" s="5" t="s">
        <v>104</v>
      </c>
      <c r="B152" s="1" t="str">
        <f t="shared" si="23"/>
        <v xml:space="preserve">Government of Serbia  </v>
      </c>
      <c r="C152" s="1" t="s">
        <v>121</v>
      </c>
      <c r="D152" s="1" t="s">
        <v>7</v>
      </c>
      <c r="E152" s="4">
        <v>45021</v>
      </c>
      <c r="F152" s="4">
        <v>47615</v>
      </c>
      <c r="G152" s="2">
        <v>87349520</v>
      </c>
    </row>
    <row r="153" spans="1:7" x14ac:dyDescent="0.45">
      <c r="A153" s="5" t="s">
        <v>105</v>
      </c>
      <c r="B153" s="1" t="str">
        <f t="shared" ref="B153:B157" si="24">"Utility of "&amp;C153</f>
        <v xml:space="preserve">Utility of Croatia  </v>
      </c>
      <c r="C153" s="1" t="s">
        <v>132</v>
      </c>
      <c r="D153" s="1" t="s">
        <v>7</v>
      </c>
      <c r="E153" s="4">
        <v>44149</v>
      </c>
      <c r="F153" s="4">
        <v>48850</v>
      </c>
      <c r="G153" s="2">
        <v>139284750</v>
      </c>
    </row>
    <row r="154" spans="1:7" x14ac:dyDescent="0.45">
      <c r="A154" s="5" t="s">
        <v>106</v>
      </c>
      <c r="B154" s="1" t="str">
        <f t="shared" si="24"/>
        <v xml:space="preserve">Utility of Albania  </v>
      </c>
      <c r="C154" s="1" t="s">
        <v>133</v>
      </c>
      <c r="D154" s="1" t="s">
        <v>7</v>
      </c>
      <c r="E154" s="4">
        <v>44773</v>
      </c>
      <c r="F154" s="4">
        <v>48564</v>
      </c>
      <c r="G154" s="2">
        <v>298374650</v>
      </c>
    </row>
    <row r="155" spans="1:7" x14ac:dyDescent="0.45">
      <c r="A155" s="5" t="s">
        <v>107</v>
      </c>
      <c r="B155" s="1" t="str">
        <f t="shared" si="24"/>
        <v xml:space="preserve">Utility of Lithuania  </v>
      </c>
      <c r="C155" s="1" t="s">
        <v>140</v>
      </c>
      <c r="D155" s="1" t="s">
        <v>7</v>
      </c>
      <c r="E155" s="4">
        <v>45394</v>
      </c>
      <c r="F155" s="4">
        <v>46816</v>
      </c>
      <c r="G155" s="2">
        <v>54783920</v>
      </c>
    </row>
    <row r="156" spans="1:7" x14ac:dyDescent="0.45">
      <c r="A156" s="5" t="s">
        <v>108</v>
      </c>
      <c r="B156" s="1" t="str">
        <f t="shared" si="24"/>
        <v xml:space="preserve">Utility of Latvia  </v>
      </c>
      <c r="C156" s="1" t="s">
        <v>141</v>
      </c>
      <c r="D156" s="1" t="s">
        <v>7</v>
      </c>
      <c r="E156" s="4">
        <v>44250</v>
      </c>
      <c r="F156" s="4">
        <v>49239</v>
      </c>
      <c r="G156" s="2">
        <v>183947205</v>
      </c>
    </row>
    <row r="157" spans="1:7" x14ac:dyDescent="0.45">
      <c r="A157" s="5" t="s">
        <v>109</v>
      </c>
      <c r="B157" s="1" t="str">
        <f t="shared" si="24"/>
        <v xml:space="preserve">Utility of Estonia  </v>
      </c>
      <c r="C157" s="1" t="s">
        <v>142</v>
      </c>
      <c r="D157" s="1" t="s">
        <v>7</v>
      </c>
      <c r="E157" s="4">
        <v>45907</v>
      </c>
      <c r="F157" s="4">
        <v>48311</v>
      </c>
      <c r="G157" s="2">
        <v>264839705</v>
      </c>
    </row>
    <row r="158" spans="1:7" x14ac:dyDescent="0.45">
      <c r="A158" s="5" t="s">
        <v>110</v>
      </c>
      <c r="B158" s="1" t="str">
        <f t="shared" si="23"/>
        <v xml:space="preserve">Government of Kosovo  </v>
      </c>
      <c r="C158" s="1" t="s">
        <v>143</v>
      </c>
      <c r="D158" s="1" t="s">
        <v>7</v>
      </c>
      <c r="E158" s="4">
        <v>43916</v>
      </c>
      <c r="F158" s="4">
        <v>47873</v>
      </c>
      <c r="G158" s="2">
        <v>73948520</v>
      </c>
    </row>
    <row r="159" spans="1:7" x14ac:dyDescent="0.45">
      <c r="A159" s="5" t="s">
        <v>111</v>
      </c>
      <c r="B159" s="1" t="str">
        <f t="shared" si="23"/>
        <v xml:space="preserve">Government of Montenegro  </v>
      </c>
      <c r="C159" s="1" t="s">
        <v>144</v>
      </c>
      <c r="D159" s="1" t="s">
        <v>7</v>
      </c>
      <c r="E159" s="4">
        <v>45270</v>
      </c>
      <c r="F159" s="4">
        <v>47736</v>
      </c>
      <c r="G159" s="2">
        <v>194857302</v>
      </c>
    </row>
    <row r="160" spans="1:7" x14ac:dyDescent="0.45">
      <c r="A160" s="5" t="s">
        <v>112</v>
      </c>
      <c r="B160" s="1" t="str">
        <f t="shared" si="23"/>
        <v xml:space="preserve">Government of Moldova  </v>
      </c>
      <c r="C160" s="1" t="s">
        <v>145</v>
      </c>
      <c r="D160" s="1" t="s">
        <v>7</v>
      </c>
      <c r="E160" s="4">
        <v>44580</v>
      </c>
      <c r="F160" s="4">
        <v>49175</v>
      </c>
      <c r="G160" s="2">
        <v>58203947</v>
      </c>
    </row>
    <row r="161" spans="1:7" x14ac:dyDescent="0.45">
      <c r="A161" s="5" t="s">
        <v>113</v>
      </c>
      <c r="B161" s="1" t="str">
        <f t="shared" si="23"/>
        <v xml:space="preserve">Government of Georgia  </v>
      </c>
      <c r="C161" s="1" t="s">
        <v>146</v>
      </c>
      <c r="D161" s="1" t="s">
        <v>7</v>
      </c>
      <c r="E161" s="4">
        <v>45836</v>
      </c>
      <c r="F161" s="4">
        <v>48730</v>
      </c>
      <c r="G161" s="2">
        <v>239485760</v>
      </c>
    </row>
    <row r="162" spans="1:7" x14ac:dyDescent="0.45">
      <c r="A162" s="5" t="s">
        <v>114</v>
      </c>
      <c r="B162" s="1" t="str">
        <f t="shared" si="23"/>
        <v xml:space="preserve">Government of Armenia  </v>
      </c>
      <c r="C162" s="1" t="s">
        <v>147</v>
      </c>
      <c r="D162" s="1" t="s">
        <v>7</v>
      </c>
      <c r="E162" s="4">
        <v>43588</v>
      </c>
      <c r="F162" s="4">
        <v>47301</v>
      </c>
      <c r="G162" s="2">
        <v>168394205</v>
      </c>
    </row>
    <row r="163" spans="1:7" x14ac:dyDescent="0.45">
      <c r="A163" s="5" t="s">
        <v>115</v>
      </c>
      <c r="B163" s="1" t="str">
        <f t="shared" si="23"/>
        <v xml:space="preserve">Government of Azerbaijan  </v>
      </c>
      <c r="C163" s="1" t="s">
        <v>148</v>
      </c>
      <c r="D163" s="1" t="s">
        <v>7</v>
      </c>
      <c r="E163" s="4">
        <v>45582</v>
      </c>
      <c r="F163" s="4">
        <v>49017</v>
      </c>
      <c r="G163" s="2">
        <v>297384650</v>
      </c>
    </row>
    <row r="164" spans="1:7" x14ac:dyDescent="0.45">
      <c r="A164" s="6" t="s">
        <v>116</v>
      </c>
      <c r="B164" s="1" t="str">
        <f t="shared" si="23"/>
        <v xml:space="preserve">Government of Brazil  </v>
      </c>
      <c r="C164" s="1" t="s">
        <v>189</v>
      </c>
      <c r="D164" s="1" t="s">
        <v>7</v>
      </c>
      <c r="E164" s="4">
        <v>44447</v>
      </c>
      <c r="F164" s="4">
        <v>48160</v>
      </c>
      <c r="G164" s="2">
        <v>64839205</v>
      </c>
    </row>
    <row r="165" spans="1:7" x14ac:dyDescent="0.45">
      <c r="A165" s="6" t="s">
        <v>116</v>
      </c>
      <c r="B165" s="1" t="str">
        <f t="shared" si="23"/>
        <v xml:space="preserve">Government of Mexico  </v>
      </c>
      <c r="C165" s="1" t="s">
        <v>190</v>
      </c>
      <c r="D165" s="1" t="s">
        <v>7</v>
      </c>
      <c r="E165" s="4">
        <v>44447</v>
      </c>
      <c r="F165" s="4">
        <v>48160</v>
      </c>
      <c r="G165" s="2">
        <v>120394857</v>
      </c>
    </row>
    <row r="166" spans="1:7" x14ac:dyDescent="0.45">
      <c r="A166" s="6" t="s">
        <v>116</v>
      </c>
      <c r="B166" s="1" t="str">
        <f t="shared" si="23"/>
        <v xml:space="preserve">Government of Argentina  </v>
      </c>
      <c r="C166" s="1" t="s">
        <v>191</v>
      </c>
      <c r="D166" s="1" t="s">
        <v>7</v>
      </c>
      <c r="E166" s="4">
        <v>44447</v>
      </c>
      <c r="F166" s="4">
        <v>48160</v>
      </c>
      <c r="G166" s="2">
        <v>257394801</v>
      </c>
    </row>
    <row r="167" spans="1:7" x14ac:dyDescent="0.45">
      <c r="A167" s="6" t="s">
        <v>116</v>
      </c>
      <c r="B167" s="1" t="str">
        <f t="shared" si="23"/>
        <v xml:space="preserve">Government of Colombia  </v>
      </c>
      <c r="C167" s="1" t="s">
        <v>192</v>
      </c>
      <c r="D167" s="1" t="s">
        <v>7</v>
      </c>
      <c r="E167" s="4">
        <v>44447</v>
      </c>
      <c r="F167" s="4">
        <v>48160</v>
      </c>
      <c r="G167" s="2">
        <v>98347520</v>
      </c>
    </row>
    <row r="168" spans="1:7" x14ac:dyDescent="0.45">
      <c r="A168" s="6" t="s">
        <v>116</v>
      </c>
      <c r="B168" s="1" t="str">
        <f t="shared" si="23"/>
        <v xml:space="preserve">Government of Peru  </v>
      </c>
      <c r="C168" s="1" t="s">
        <v>193</v>
      </c>
      <c r="D168" s="1" t="s">
        <v>7</v>
      </c>
      <c r="E168" s="4">
        <v>44447</v>
      </c>
      <c r="F168" s="4">
        <v>48160</v>
      </c>
      <c r="G168" s="2">
        <v>139847502</v>
      </c>
    </row>
    <row r="169" spans="1:7" x14ac:dyDescent="0.45">
      <c r="A169" s="6" t="s">
        <v>116</v>
      </c>
      <c r="B169" s="1" t="str">
        <f t="shared" ref="B169:B171" si="25">"Utility of "&amp;C169</f>
        <v xml:space="preserve">Utility of India  </v>
      </c>
      <c r="C169" s="1" t="s">
        <v>194</v>
      </c>
      <c r="D169" s="1" t="s">
        <v>7</v>
      </c>
      <c r="E169" s="4">
        <v>44447</v>
      </c>
      <c r="F169" s="4">
        <v>48160</v>
      </c>
      <c r="G169" s="2">
        <v>264839750</v>
      </c>
    </row>
    <row r="170" spans="1:7" x14ac:dyDescent="0.45">
      <c r="A170" s="6" t="s">
        <v>116</v>
      </c>
      <c r="B170" s="1" t="str">
        <f t="shared" si="25"/>
        <v xml:space="preserve">Utility of China  </v>
      </c>
      <c r="C170" s="1" t="s">
        <v>195</v>
      </c>
      <c r="D170" s="1" t="s">
        <v>7</v>
      </c>
      <c r="E170" s="4">
        <v>44447</v>
      </c>
      <c r="F170" s="4">
        <v>48160</v>
      </c>
      <c r="G170" s="2">
        <v>74839201</v>
      </c>
    </row>
    <row r="171" spans="1:7" x14ac:dyDescent="0.45">
      <c r="A171" s="6" t="s">
        <v>116</v>
      </c>
      <c r="B171" s="1" t="str">
        <f t="shared" si="25"/>
        <v xml:space="preserve">Utility of Indonesia  </v>
      </c>
      <c r="C171" s="1" t="s">
        <v>196</v>
      </c>
      <c r="D171" s="1" t="s">
        <v>7</v>
      </c>
      <c r="E171" s="4">
        <v>44447</v>
      </c>
      <c r="F171" s="4">
        <v>48160</v>
      </c>
      <c r="G171" s="2">
        <v>193847560</v>
      </c>
    </row>
    <row r="172" spans="1:7" x14ac:dyDescent="0.45">
      <c r="A172" s="6" t="s">
        <v>116</v>
      </c>
      <c r="B172" s="1" t="str">
        <f t="shared" ref="B172:B173" si="26">"Telecom "&amp;C172</f>
        <v xml:space="preserve">Telecom Thailand  </v>
      </c>
      <c r="C172" s="1" t="s">
        <v>197</v>
      </c>
      <c r="D172" s="1" t="s">
        <v>7</v>
      </c>
      <c r="E172" s="4">
        <v>44447</v>
      </c>
      <c r="F172" s="4">
        <v>48160</v>
      </c>
      <c r="G172" s="2">
        <v>284759301</v>
      </c>
    </row>
    <row r="173" spans="1:7" x14ac:dyDescent="0.45">
      <c r="A173" s="6" t="s">
        <v>116</v>
      </c>
      <c r="B173" s="1" t="str">
        <f t="shared" si="26"/>
        <v xml:space="preserve">Telecom Vietnam  </v>
      </c>
      <c r="C173" s="1" t="s">
        <v>198</v>
      </c>
      <c r="D173" s="1" t="s">
        <v>7</v>
      </c>
      <c r="E173" s="4">
        <v>44447</v>
      </c>
      <c r="F173" s="4">
        <v>48160</v>
      </c>
      <c r="G173" s="2">
        <v>57384920</v>
      </c>
    </row>
    <row r="174" spans="1:7" x14ac:dyDescent="0.45">
      <c r="A174" t="s">
        <v>116</v>
      </c>
      <c r="B174" t="s">
        <v>199</v>
      </c>
      <c r="C174" t="s">
        <v>198</v>
      </c>
      <c r="D174" t="s">
        <v>7</v>
      </c>
      <c r="E174" s="4">
        <v>44447</v>
      </c>
      <c r="F174" s="4">
        <v>48160</v>
      </c>
      <c r="G174">
        <v>57384920</v>
      </c>
    </row>
    <row r="175" spans="1:7" x14ac:dyDescent="0.45">
      <c r="A175" t="s">
        <v>200</v>
      </c>
      <c r="B175" t="s">
        <v>201</v>
      </c>
      <c r="C175" t="s">
        <v>202</v>
      </c>
      <c r="D175" t="s">
        <v>7</v>
      </c>
      <c r="E175" s="4">
        <v>45420</v>
      </c>
      <c r="F175" s="4">
        <v>46167</v>
      </c>
      <c r="G175">
        <v>90296161.090000004</v>
      </c>
    </row>
    <row r="176" spans="1:7" x14ac:dyDescent="0.45">
      <c r="A176" t="s">
        <v>203</v>
      </c>
      <c r="B176" t="s">
        <v>204</v>
      </c>
      <c r="C176" t="s">
        <v>205</v>
      </c>
      <c r="D176" t="s">
        <v>7</v>
      </c>
      <c r="E176" s="4">
        <v>44843</v>
      </c>
      <c r="F176" s="4">
        <v>47368</v>
      </c>
      <c r="G176">
        <v>8252373.2699999996</v>
      </c>
    </row>
    <row r="177" spans="1:7" x14ac:dyDescent="0.45">
      <c r="A177" t="s">
        <v>203</v>
      </c>
      <c r="B177" t="s">
        <v>204</v>
      </c>
      <c r="C177" t="s">
        <v>202</v>
      </c>
      <c r="D177" t="s">
        <v>7</v>
      </c>
      <c r="E177" s="4">
        <v>44843</v>
      </c>
      <c r="F177" s="4">
        <v>47368</v>
      </c>
      <c r="G177">
        <v>9614917.6500000004</v>
      </c>
    </row>
    <row r="178" spans="1:7" x14ac:dyDescent="0.45">
      <c r="A178" t="s">
        <v>203</v>
      </c>
      <c r="B178" t="s">
        <v>204</v>
      </c>
      <c r="C178" t="s">
        <v>206</v>
      </c>
      <c r="D178" t="s">
        <v>7</v>
      </c>
      <c r="E178" s="4">
        <v>44843</v>
      </c>
      <c r="F178" s="4">
        <v>47368</v>
      </c>
      <c r="G178">
        <v>64335342.82</v>
      </c>
    </row>
    <row r="179" spans="1:7" x14ac:dyDescent="0.45">
      <c r="A179" t="s">
        <v>203</v>
      </c>
      <c r="B179" t="s">
        <v>204</v>
      </c>
      <c r="C179" t="s">
        <v>207</v>
      </c>
      <c r="D179" t="s">
        <v>7</v>
      </c>
      <c r="E179" s="4">
        <v>44843</v>
      </c>
      <c r="F179" s="4">
        <v>47368</v>
      </c>
      <c r="G179">
        <v>97580418.760000005</v>
      </c>
    </row>
    <row r="180" spans="1:7" x14ac:dyDescent="0.45">
      <c r="A180" t="s">
        <v>203</v>
      </c>
      <c r="B180" t="s">
        <v>204</v>
      </c>
      <c r="C180" t="s">
        <v>208</v>
      </c>
      <c r="D180" t="s">
        <v>7</v>
      </c>
      <c r="E180" s="4">
        <v>44843</v>
      </c>
      <c r="F180" s="4">
        <v>47368</v>
      </c>
      <c r="G180">
        <v>65666777.710000001</v>
      </c>
    </row>
    <row r="181" spans="1:7" x14ac:dyDescent="0.45">
      <c r="A181" t="s">
        <v>209</v>
      </c>
      <c r="B181" t="s">
        <v>210</v>
      </c>
      <c r="C181" t="s">
        <v>211</v>
      </c>
      <c r="D181" t="s">
        <v>7</v>
      </c>
      <c r="E181" s="4">
        <v>45407</v>
      </c>
      <c r="F181" s="4">
        <v>46112</v>
      </c>
      <c r="G181">
        <v>44211360.25</v>
      </c>
    </row>
    <row r="182" spans="1:7" x14ac:dyDescent="0.45">
      <c r="A182" t="s">
        <v>212</v>
      </c>
      <c r="B182" t="s">
        <v>213</v>
      </c>
      <c r="C182" t="s">
        <v>214</v>
      </c>
      <c r="D182" t="s">
        <v>7</v>
      </c>
      <c r="E182" s="4">
        <v>44144</v>
      </c>
      <c r="F182" s="4">
        <v>45982</v>
      </c>
      <c r="G182">
        <v>1642622.59</v>
      </c>
    </row>
    <row r="183" spans="1:7" x14ac:dyDescent="0.45">
      <c r="A183" t="s">
        <v>215</v>
      </c>
      <c r="B183" t="s">
        <v>216</v>
      </c>
      <c r="C183" t="s">
        <v>217</v>
      </c>
      <c r="D183" t="s">
        <v>7</v>
      </c>
      <c r="E183" s="4">
        <v>45644</v>
      </c>
      <c r="F183" s="4">
        <v>46364</v>
      </c>
      <c r="G183">
        <v>7983999.2000000002</v>
      </c>
    </row>
    <row r="184" spans="1:7" x14ac:dyDescent="0.45">
      <c r="A184" t="s">
        <v>218</v>
      </c>
      <c r="B184" t="s">
        <v>219</v>
      </c>
      <c r="C184" t="s">
        <v>220</v>
      </c>
      <c r="D184" t="s">
        <v>7</v>
      </c>
      <c r="E184" s="4">
        <v>45271</v>
      </c>
      <c r="F184" s="4">
        <v>46002</v>
      </c>
      <c r="G184">
        <v>8962148.3800000008</v>
      </c>
    </row>
    <row r="185" spans="1:7" x14ac:dyDescent="0.45">
      <c r="A185" t="s">
        <v>221</v>
      </c>
      <c r="B185" t="s">
        <v>222</v>
      </c>
      <c r="C185" t="s">
        <v>223</v>
      </c>
      <c r="D185" t="s">
        <v>7</v>
      </c>
      <c r="E185" s="4">
        <v>45579</v>
      </c>
      <c r="F185" s="4">
        <v>48129</v>
      </c>
      <c r="G185">
        <v>2973886.83</v>
      </c>
    </row>
    <row r="186" spans="1:7" x14ac:dyDescent="0.45">
      <c r="A186" t="s">
        <v>224</v>
      </c>
      <c r="B186" t="s">
        <v>225</v>
      </c>
      <c r="C186" t="s">
        <v>226</v>
      </c>
      <c r="D186" t="s">
        <v>7</v>
      </c>
      <c r="E186" s="4">
        <v>44762</v>
      </c>
      <c r="F186" s="4">
        <v>50240</v>
      </c>
      <c r="G186">
        <v>87470173.200000003</v>
      </c>
    </row>
    <row r="187" spans="1:7" x14ac:dyDescent="0.45">
      <c r="A187" t="s">
        <v>224</v>
      </c>
      <c r="B187" t="s">
        <v>225</v>
      </c>
      <c r="C187" t="s">
        <v>227</v>
      </c>
      <c r="D187" t="s">
        <v>7</v>
      </c>
      <c r="E187" s="4">
        <v>44762</v>
      </c>
      <c r="F187" s="4">
        <v>50240</v>
      </c>
      <c r="G187">
        <v>58327329.740000002</v>
      </c>
    </row>
    <row r="188" spans="1:7" x14ac:dyDescent="0.45">
      <c r="A188" t="s">
        <v>224</v>
      </c>
      <c r="B188" t="s">
        <v>225</v>
      </c>
      <c r="C188" t="s">
        <v>228</v>
      </c>
      <c r="D188" t="s">
        <v>7</v>
      </c>
      <c r="E188" s="4">
        <v>44762</v>
      </c>
      <c r="F188" s="4">
        <v>50240</v>
      </c>
      <c r="G188">
        <v>281489482.52999997</v>
      </c>
    </row>
    <row r="189" spans="1:7" x14ac:dyDescent="0.45">
      <c r="A189" t="s">
        <v>229</v>
      </c>
      <c r="B189" t="s">
        <v>230</v>
      </c>
      <c r="C189" t="s">
        <v>223</v>
      </c>
      <c r="D189" t="s">
        <v>7</v>
      </c>
      <c r="E189" s="4">
        <v>45002</v>
      </c>
      <c r="F189" s="4">
        <v>48677</v>
      </c>
      <c r="G189">
        <v>3686003.12</v>
      </c>
    </row>
    <row r="190" spans="1:7" x14ac:dyDescent="0.45">
      <c r="A190" t="s">
        <v>231</v>
      </c>
      <c r="B190" t="s">
        <v>222</v>
      </c>
      <c r="C190" t="s">
        <v>232</v>
      </c>
      <c r="D190" t="s">
        <v>7</v>
      </c>
      <c r="E190" s="4">
        <v>45093</v>
      </c>
      <c r="F190" s="4">
        <v>45487</v>
      </c>
      <c r="G190">
        <v>8908496.9000000004</v>
      </c>
    </row>
    <row r="191" spans="1:7" x14ac:dyDescent="0.45">
      <c r="A191" t="s">
        <v>233</v>
      </c>
      <c r="B191" t="s">
        <v>234</v>
      </c>
      <c r="C191" t="s">
        <v>235</v>
      </c>
      <c r="D191" t="s">
        <v>7</v>
      </c>
      <c r="E191" s="4">
        <v>43815</v>
      </c>
      <c r="F191" s="4">
        <v>46388</v>
      </c>
      <c r="G191">
        <v>21555231.800000001</v>
      </c>
    </row>
    <row r="192" spans="1:7" x14ac:dyDescent="0.45">
      <c r="A192" t="s">
        <v>236</v>
      </c>
      <c r="B192" t="s">
        <v>237</v>
      </c>
      <c r="C192" t="s">
        <v>227</v>
      </c>
      <c r="D192" t="s">
        <v>7</v>
      </c>
      <c r="E192" s="4">
        <v>44099</v>
      </c>
      <c r="F192" s="4">
        <v>45906</v>
      </c>
      <c r="G192">
        <v>99563442.099999994</v>
      </c>
    </row>
    <row r="193" spans="1:7" x14ac:dyDescent="0.45">
      <c r="A193" t="s">
        <v>238</v>
      </c>
      <c r="B193" t="s">
        <v>239</v>
      </c>
      <c r="C193" t="s">
        <v>240</v>
      </c>
      <c r="D193" t="s">
        <v>7</v>
      </c>
      <c r="E193" s="4">
        <v>43924</v>
      </c>
      <c r="F193" s="4">
        <v>44661</v>
      </c>
      <c r="G193">
        <v>29819564.600000001</v>
      </c>
    </row>
    <row r="194" spans="1:7" x14ac:dyDescent="0.45">
      <c r="A194" t="s">
        <v>241</v>
      </c>
      <c r="B194" t="s">
        <v>242</v>
      </c>
      <c r="C194" t="s">
        <v>243</v>
      </c>
      <c r="D194" t="s">
        <v>7</v>
      </c>
      <c r="E194" s="4">
        <v>44244</v>
      </c>
      <c r="F194" s="4">
        <v>44986</v>
      </c>
      <c r="G194">
        <v>21908066.390000001</v>
      </c>
    </row>
    <row r="195" spans="1:7" x14ac:dyDescent="0.45">
      <c r="A195" t="s">
        <v>244</v>
      </c>
      <c r="B195" t="s">
        <v>245</v>
      </c>
      <c r="C195" t="s">
        <v>246</v>
      </c>
      <c r="D195" t="s">
        <v>7</v>
      </c>
      <c r="E195" s="4">
        <v>44655</v>
      </c>
      <c r="F195" s="4">
        <v>45017</v>
      </c>
      <c r="G195">
        <v>52032220.119999997</v>
      </c>
    </row>
    <row r="196" spans="1:7" x14ac:dyDescent="0.45">
      <c r="A196" t="s">
        <v>247</v>
      </c>
      <c r="B196" t="s">
        <v>201</v>
      </c>
      <c r="C196" t="s">
        <v>248</v>
      </c>
      <c r="D196" t="s">
        <v>7</v>
      </c>
      <c r="E196" s="4">
        <v>43670</v>
      </c>
      <c r="F196" s="4">
        <v>44425</v>
      </c>
      <c r="G196">
        <v>27118801.760000002</v>
      </c>
    </row>
    <row r="197" spans="1:7" x14ac:dyDescent="0.45">
      <c r="A197" t="s">
        <v>249</v>
      </c>
      <c r="B197" t="s">
        <v>201</v>
      </c>
      <c r="C197" t="s">
        <v>9</v>
      </c>
      <c r="D197" t="s">
        <v>7</v>
      </c>
      <c r="E197" s="4">
        <v>43703</v>
      </c>
      <c r="F197" s="4">
        <v>46263</v>
      </c>
      <c r="G197">
        <v>434411034.02999997</v>
      </c>
    </row>
    <row r="198" spans="1:7" x14ac:dyDescent="0.45">
      <c r="A198" t="s">
        <v>250</v>
      </c>
      <c r="B198" t="s">
        <v>219</v>
      </c>
      <c r="C198" t="s">
        <v>251</v>
      </c>
      <c r="D198" t="s">
        <v>7</v>
      </c>
      <c r="E198" s="4">
        <v>44028</v>
      </c>
      <c r="F198" s="4">
        <v>45148</v>
      </c>
      <c r="G198">
        <v>9121985.7899999991</v>
      </c>
    </row>
    <row r="199" spans="1:7" x14ac:dyDescent="0.45">
      <c r="A199" t="s">
        <v>252</v>
      </c>
      <c r="B199" t="s">
        <v>239</v>
      </c>
      <c r="C199" t="s">
        <v>253</v>
      </c>
      <c r="D199" t="s">
        <v>7</v>
      </c>
      <c r="E199" s="4">
        <v>44400</v>
      </c>
      <c r="F199" s="4">
        <v>48070</v>
      </c>
      <c r="G199">
        <v>6956841.8099999996</v>
      </c>
    </row>
    <row r="200" spans="1:7" x14ac:dyDescent="0.45">
      <c r="A200" t="s">
        <v>254</v>
      </c>
      <c r="B200" t="s">
        <v>219</v>
      </c>
      <c r="C200" t="s">
        <v>255</v>
      </c>
      <c r="D200" t="s">
        <v>7</v>
      </c>
      <c r="E200" s="4">
        <v>43741</v>
      </c>
      <c r="F200" s="4">
        <v>45551</v>
      </c>
      <c r="G200">
        <v>90125858.269999996</v>
      </c>
    </row>
    <row r="201" spans="1:7" x14ac:dyDescent="0.45">
      <c r="A201" t="s">
        <v>254</v>
      </c>
      <c r="B201" t="s">
        <v>219</v>
      </c>
      <c r="C201" t="s">
        <v>256</v>
      </c>
      <c r="D201" t="s">
        <v>7</v>
      </c>
      <c r="E201" s="4">
        <v>43741</v>
      </c>
      <c r="F201" s="4">
        <v>45551</v>
      </c>
      <c r="G201">
        <v>47730242.380000003</v>
      </c>
    </row>
    <row r="202" spans="1:7" x14ac:dyDescent="0.45">
      <c r="A202" t="s">
        <v>254</v>
      </c>
      <c r="B202" t="s">
        <v>219</v>
      </c>
      <c r="C202" t="s">
        <v>257</v>
      </c>
      <c r="D202" t="s">
        <v>7</v>
      </c>
      <c r="E202" s="4">
        <v>43741</v>
      </c>
      <c r="F202" s="4">
        <v>45551</v>
      </c>
      <c r="G202">
        <v>9412356.3200000003</v>
      </c>
    </row>
    <row r="203" spans="1:7" x14ac:dyDescent="0.45">
      <c r="A203" t="s">
        <v>254</v>
      </c>
      <c r="B203" t="s">
        <v>219</v>
      </c>
      <c r="C203" t="s">
        <v>258</v>
      </c>
      <c r="D203" t="s">
        <v>7</v>
      </c>
      <c r="E203" s="4">
        <v>43741</v>
      </c>
      <c r="F203" s="4">
        <v>45551</v>
      </c>
      <c r="G203">
        <v>4562072.62</v>
      </c>
    </row>
    <row r="204" spans="1:7" x14ac:dyDescent="0.45">
      <c r="A204" t="s">
        <v>254</v>
      </c>
      <c r="B204" t="s">
        <v>219</v>
      </c>
      <c r="C204" t="s">
        <v>10</v>
      </c>
      <c r="D204" t="s">
        <v>7</v>
      </c>
      <c r="E204" s="4">
        <v>43741</v>
      </c>
      <c r="F204" s="4">
        <v>45551</v>
      </c>
      <c r="G204">
        <v>283314209.05000001</v>
      </c>
    </row>
    <row r="205" spans="1:7" x14ac:dyDescent="0.45">
      <c r="A205" t="s">
        <v>254</v>
      </c>
      <c r="B205" t="s">
        <v>219</v>
      </c>
      <c r="C205" t="s">
        <v>259</v>
      </c>
      <c r="D205" t="s">
        <v>7</v>
      </c>
      <c r="E205" s="4">
        <v>43741</v>
      </c>
      <c r="F205" s="4">
        <v>45551</v>
      </c>
      <c r="G205">
        <v>9964868.0299999993</v>
      </c>
    </row>
    <row r="206" spans="1:7" x14ac:dyDescent="0.45">
      <c r="A206" t="s">
        <v>254</v>
      </c>
      <c r="B206" t="s">
        <v>219</v>
      </c>
      <c r="C206" t="s">
        <v>226</v>
      </c>
      <c r="D206" t="s">
        <v>7</v>
      </c>
      <c r="E206" s="4">
        <v>43741</v>
      </c>
      <c r="F206" s="4">
        <v>45551</v>
      </c>
      <c r="G206">
        <v>9399334.4000000004</v>
      </c>
    </row>
    <row r="207" spans="1:7" x14ac:dyDescent="0.45">
      <c r="A207" t="s">
        <v>254</v>
      </c>
      <c r="B207" t="s">
        <v>219</v>
      </c>
      <c r="C207" t="s">
        <v>260</v>
      </c>
      <c r="D207" t="s">
        <v>7</v>
      </c>
      <c r="E207" s="4">
        <v>43741</v>
      </c>
      <c r="F207" s="4">
        <v>45551</v>
      </c>
      <c r="G207">
        <v>85037045.920000002</v>
      </c>
    </row>
    <row r="208" spans="1:7" x14ac:dyDescent="0.45">
      <c r="A208" t="s">
        <v>254</v>
      </c>
      <c r="B208" t="s">
        <v>219</v>
      </c>
      <c r="C208" t="s">
        <v>235</v>
      </c>
      <c r="D208" t="s">
        <v>7</v>
      </c>
      <c r="E208" s="4">
        <v>43741</v>
      </c>
      <c r="F208" s="4">
        <v>45551</v>
      </c>
      <c r="G208">
        <v>68857868.590000004</v>
      </c>
    </row>
    <row r="209" spans="1:7" x14ac:dyDescent="0.45">
      <c r="A209" t="s">
        <v>254</v>
      </c>
      <c r="B209" t="s">
        <v>219</v>
      </c>
      <c r="C209" t="s">
        <v>261</v>
      </c>
      <c r="D209" t="s">
        <v>7</v>
      </c>
      <c r="E209" s="4">
        <v>43741</v>
      </c>
      <c r="F209" s="4">
        <v>45551</v>
      </c>
      <c r="G209">
        <v>3694408.77</v>
      </c>
    </row>
    <row r="210" spans="1:7" x14ac:dyDescent="0.45">
      <c r="A210" t="s">
        <v>262</v>
      </c>
      <c r="B210" t="s">
        <v>230</v>
      </c>
      <c r="C210" t="s">
        <v>263</v>
      </c>
      <c r="D210" t="s">
        <v>7</v>
      </c>
      <c r="E210" s="4">
        <v>45039</v>
      </c>
      <c r="F210" s="4">
        <v>45782</v>
      </c>
      <c r="G210">
        <v>200448500.83000001</v>
      </c>
    </row>
    <row r="211" spans="1:7" x14ac:dyDescent="0.45">
      <c r="A211" t="s">
        <v>262</v>
      </c>
      <c r="B211" t="s">
        <v>230</v>
      </c>
      <c r="C211" t="s">
        <v>217</v>
      </c>
      <c r="D211" t="s">
        <v>7</v>
      </c>
      <c r="E211" s="4">
        <v>45039</v>
      </c>
      <c r="F211" s="4">
        <v>45782</v>
      </c>
      <c r="G211">
        <v>1457190.04</v>
      </c>
    </row>
    <row r="212" spans="1:7" x14ac:dyDescent="0.45">
      <c r="A212" t="s">
        <v>262</v>
      </c>
      <c r="B212" t="s">
        <v>230</v>
      </c>
      <c r="C212" t="s">
        <v>264</v>
      </c>
      <c r="D212" t="s">
        <v>7</v>
      </c>
      <c r="E212" s="4">
        <v>45039</v>
      </c>
      <c r="F212" s="4">
        <v>45782</v>
      </c>
      <c r="G212">
        <v>4002008.85</v>
      </c>
    </row>
    <row r="213" spans="1:7" x14ac:dyDescent="0.45">
      <c r="A213" t="s">
        <v>265</v>
      </c>
      <c r="B213" t="s">
        <v>266</v>
      </c>
      <c r="C213" t="s">
        <v>267</v>
      </c>
      <c r="D213" t="s">
        <v>7</v>
      </c>
      <c r="E213" s="4">
        <v>44930</v>
      </c>
      <c r="F213" s="4">
        <v>45321</v>
      </c>
      <c r="G213">
        <v>59103126.030000001</v>
      </c>
    </row>
    <row r="214" spans="1:7" x14ac:dyDescent="0.45">
      <c r="A214" t="s">
        <v>268</v>
      </c>
      <c r="B214" t="s">
        <v>245</v>
      </c>
      <c r="C214" t="s">
        <v>269</v>
      </c>
      <c r="D214" t="s">
        <v>7</v>
      </c>
      <c r="E214" s="4">
        <v>44308</v>
      </c>
      <c r="F214" s="4">
        <v>45014</v>
      </c>
      <c r="G214">
        <v>89572123.129999995</v>
      </c>
    </row>
    <row r="215" spans="1:7" x14ac:dyDescent="0.45">
      <c r="A215" t="s">
        <v>268</v>
      </c>
      <c r="B215" t="s">
        <v>245</v>
      </c>
      <c r="C215" t="s">
        <v>270</v>
      </c>
      <c r="D215" t="s">
        <v>7</v>
      </c>
      <c r="E215" s="4">
        <v>44308</v>
      </c>
      <c r="F215" s="4">
        <v>45014</v>
      </c>
      <c r="G215">
        <v>445842278.49000001</v>
      </c>
    </row>
    <row r="216" spans="1:7" x14ac:dyDescent="0.45">
      <c r="A216" t="s">
        <v>268</v>
      </c>
      <c r="B216" t="s">
        <v>245</v>
      </c>
      <c r="C216" t="s">
        <v>271</v>
      </c>
      <c r="D216" t="s">
        <v>7</v>
      </c>
      <c r="E216" s="4">
        <v>44308</v>
      </c>
      <c r="F216" s="4">
        <v>45014</v>
      </c>
      <c r="G216">
        <v>89327458.420000002</v>
      </c>
    </row>
    <row r="217" spans="1:7" x14ac:dyDescent="0.45">
      <c r="A217" t="s">
        <v>272</v>
      </c>
      <c r="B217" t="s">
        <v>266</v>
      </c>
      <c r="C217" t="s">
        <v>273</v>
      </c>
      <c r="D217" t="s">
        <v>7</v>
      </c>
      <c r="E217" s="4">
        <v>45652</v>
      </c>
      <c r="F217" s="4">
        <v>46362</v>
      </c>
      <c r="G217">
        <v>1972860.64</v>
      </c>
    </row>
    <row r="218" spans="1:7" x14ac:dyDescent="0.45">
      <c r="A218" t="s">
        <v>274</v>
      </c>
      <c r="B218" t="s">
        <v>210</v>
      </c>
      <c r="C218" t="s">
        <v>275</v>
      </c>
      <c r="D218" t="s">
        <v>7</v>
      </c>
      <c r="E218" s="4">
        <v>44343</v>
      </c>
      <c r="F218" s="4">
        <v>46152</v>
      </c>
      <c r="G218">
        <v>231304780.47999999</v>
      </c>
    </row>
    <row r="219" spans="1:7" x14ac:dyDescent="0.45">
      <c r="A219" t="s">
        <v>276</v>
      </c>
      <c r="B219" t="s">
        <v>234</v>
      </c>
      <c r="C219" t="s">
        <v>277</v>
      </c>
      <c r="D219" t="s">
        <v>7</v>
      </c>
      <c r="E219" s="4">
        <v>44517</v>
      </c>
      <c r="F219" s="4">
        <v>45270</v>
      </c>
      <c r="G219">
        <v>3980348.81</v>
      </c>
    </row>
    <row r="220" spans="1:7" x14ac:dyDescent="0.45">
      <c r="A220" t="s">
        <v>278</v>
      </c>
      <c r="B220" t="s">
        <v>279</v>
      </c>
      <c r="C220" t="s">
        <v>223</v>
      </c>
      <c r="D220" t="s">
        <v>7</v>
      </c>
      <c r="E220" s="4">
        <v>43516</v>
      </c>
      <c r="F220" s="4">
        <v>44262</v>
      </c>
      <c r="G220">
        <v>146258313.61000001</v>
      </c>
    </row>
    <row r="221" spans="1:7" x14ac:dyDescent="0.45">
      <c r="A221" t="s">
        <v>280</v>
      </c>
      <c r="B221" t="s">
        <v>234</v>
      </c>
      <c r="C221" t="s">
        <v>211</v>
      </c>
      <c r="D221" t="s">
        <v>7</v>
      </c>
      <c r="E221" s="4">
        <v>45474</v>
      </c>
      <c r="F221" s="4">
        <v>46590</v>
      </c>
      <c r="G221">
        <v>7181714.3200000003</v>
      </c>
    </row>
    <row r="222" spans="1:7" x14ac:dyDescent="0.45">
      <c r="A222" t="s">
        <v>281</v>
      </c>
      <c r="B222" t="s">
        <v>282</v>
      </c>
      <c r="C222" t="s">
        <v>283</v>
      </c>
      <c r="D222" t="s">
        <v>7</v>
      </c>
      <c r="E222" s="4">
        <v>45099</v>
      </c>
      <c r="F222" s="4">
        <v>47670</v>
      </c>
      <c r="G222">
        <v>70020361.370000005</v>
      </c>
    </row>
    <row r="223" spans="1:7" x14ac:dyDescent="0.45">
      <c r="A223" t="s">
        <v>284</v>
      </c>
      <c r="B223" t="s">
        <v>285</v>
      </c>
      <c r="C223" t="s">
        <v>286</v>
      </c>
      <c r="D223" t="s">
        <v>7</v>
      </c>
      <c r="E223" s="4">
        <v>44878</v>
      </c>
      <c r="F223" s="4">
        <v>46730</v>
      </c>
      <c r="G223">
        <v>6539634.2400000002</v>
      </c>
    </row>
    <row r="224" spans="1:7" x14ac:dyDescent="0.45">
      <c r="A224" t="s">
        <v>287</v>
      </c>
      <c r="B224" t="s">
        <v>288</v>
      </c>
      <c r="C224" t="s">
        <v>289</v>
      </c>
      <c r="D224" t="s">
        <v>7</v>
      </c>
      <c r="E224" s="4">
        <v>45220</v>
      </c>
      <c r="F224" s="4">
        <v>45948</v>
      </c>
      <c r="G224">
        <v>417494159.63999999</v>
      </c>
    </row>
    <row r="225" spans="1:7" x14ac:dyDescent="0.45">
      <c r="A225" t="s">
        <v>290</v>
      </c>
      <c r="B225" t="s">
        <v>291</v>
      </c>
      <c r="C225" t="s">
        <v>292</v>
      </c>
      <c r="D225" t="s">
        <v>7</v>
      </c>
      <c r="E225" s="4">
        <v>44461</v>
      </c>
      <c r="F225" s="4">
        <v>45547</v>
      </c>
      <c r="G225">
        <v>8365811.1799999997</v>
      </c>
    </row>
    <row r="226" spans="1:7" x14ac:dyDescent="0.45">
      <c r="A226" t="s">
        <v>293</v>
      </c>
      <c r="B226" t="s">
        <v>294</v>
      </c>
      <c r="C226" t="s">
        <v>202</v>
      </c>
      <c r="D226" t="s">
        <v>7</v>
      </c>
      <c r="E226" s="4">
        <v>43571</v>
      </c>
      <c r="F226" s="4">
        <v>44685</v>
      </c>
      <c r="G226">
        <v>89752321.810000002</v>
      </c>
    </row>
    <row r="227" spans="1:7" x14ac:dyDescent="0.45">
      <c r="A227" t="s">
        <v>295</v>
      </c>
      <c r="B227" t="s">
        <v>204</v>
      </c>
      <c r="C227" t="s">
        <v>296</v>
      </c>
      <c r="D227" t="s">
        <v>7</v>
      </c>
      <c r="E227" s="4">
        <v>43911</v>
      </c>
      <c r="F227" s="4">
        <v>45763</v>
      </c>
      <c r="G227">
        <v>8743965.0899999999</v>
      </c>
    </row>
    <row r="228" spans="1:7" x14ac:dyDescent="0.45">
      <c r="A228" t="s">
        <v>297</v>
      </c>
      <c r="B228" t="s">
        <v>298</v>
      </c>
      <c r="C228" t="s">
        <v>299</v>
      </c>
      <c r="D228" t="s">
        <v>7</v>
      </c>
      <c r="E228" s="4">
        <v>43716</v>
      </c>
      <c r="F228" s="4">
        <v>47343</v>
      </c>
      <c r="G228">
        <v>51817891.369999997</v>
      </c>
    </row>
    <row r="229" spans="1:7" x14ac:dyDescent="0.45">
      <c r="A229" t="s">
        <v>300</v>
      </c>
      <c r="B229" t="s">
        <v>239</v>
      </c>
      <c r="C229" t="s">
        <v>301</v>
      </c>
      <c r="D229" t="s">
        <v>7</v>
      </c>
      <c r="E229" s="4">
        <v>45277</v>
      </c>
      <c r="F229" s="4">
        <v>46035</v>
      </c>
      <c r="G229">
        <v>24324211.68</v>
      </c>
    </row>
    <row r="230" spans="1:7" x14ac:dyDescent="0.45">
      <c r="A230" t="s">
        <v>302</v>
      </c>
      <c r="B230" t="s">
        <v>294</v>
      </c>
      <c r="C230" t="s">
        <v>13</v>
      </c>
      <c r="D230" t="s">
        <v>7</v>
      </c>
      <c r="E230" s="4">
        <v>45159</v>
      </c>
      <c r="F230" s="4">
        <v>45887</v>
      </c>
      <c r="G230">
        <v>234339014.65000001</v>
      </c>
    </row>
    <row r="231" spans="1:7" x14ac:dyDescent="0.45">
      <c r="A231" t="s">
        <v>303</v>
      </c>
      <c r="B231" t="s">
        <v>304</v>
      </c>
      <c r="C231" t="s">
        <v>305</v>
      </c>
      <c r="D231" t="s">
        <v>7</v>
      </c>
      <c r="E231" s="4">
        <v>44730</v>
      </c>
      <c r="F231" s="4">
        <v>45798</v>
      </c>
      <c r="G231">
        <v>407918308.93000001</v>
      </c>
    </row>
    <row r="232" spans="1:7" x14ac:dyDescent="0.45">
      <c r="A232" t="s">
        <v>303</v>
      </c>
      <c r="B232" t="s">
        <v>304</v>
      </c>
      <c r="C232" t="s">
        <v>263</v>
      </c>
      <c r="D232" t="s">
        <v>7</v>
      </c>
      <c r="E232" s="4">
        <v>44730</v>
      </c>
      <c r="F232" s="4">
        <v>45798</v>
      </c>
      <c r="G232">
        <v>89259100.549999997</v>
      </c>
    </row>
    <row r="233" spans="1:7" x14ac:dyDescent="0.45">
      <c r="A233" t="s">
        <v>303</v>
      </c>
      <c r="B233" t="s">
        <v>304</v>
      </c>
      <c r="C233" t="s">
        <v>220</v>
      </c>
      <c r="D233" t="s">
        <v>7</v>
      </c>
      <c r="E233" s="4">
        <v>44730</v>
      </c>
      <c r="F233" s="4">
        <v>45798</v>
      </c>
      <c r="G233">
        <v>255994659.22999999</v>
      </c>
    </row>
    <row r="234" spans="1:7" x14ac:dyDescent="0.45">
      <c r="A234" t="s">
        <v>303</v>
      </c>
      <c r="B234" t="s">
        <v>304</v>
      </c>
      <c r="C234" t="s">
        <v>228</v>
      </c>
      <c r="D234" t="s">
        <v>7</v>
      </c>
      <c r="E234" s="4">
        <v>44730</v>
      </c>
      <c r="F234" s="4">
        <v>45798</v>
      </c>
      <c r="G234">
        <v>58439851.079999998</v>
      </c>
    </row>
    <row r="235" spans="1:7" x14ac:dyDescent="0.45">
      <c r="A235" t="s">
        <v>303</v>
      </c>
      <c r="B235" t="s">
        <v>304</v>
      </c>
      <c r="C235" t="s">
        <v>306</v>
      </c>
      <c r="D235" t="s">
        <v>7</v>
      </c>
      <c r="E235" s="4">
        <v>44730</v>
      </c>
      <c r="F235" s="4">
        <v>45798</v>
      </c>
      <c r="G235">
        <v>53940652.979999997</v>
      </c>
    </row>
    <row r="236" spans="1:7" x14ac:dyDescent="0.45">
      <c r="A236" t="s">
        <v>307</v>
      </c>
      <c r="B236" t="s">
        <v>308</v>
      </c>
      <c r="C236" t="s">
        <v>309</v>
      </c>
      <c r="D236" t="s">
        <v>7</v>
      </c>
      <c r="E236" s="4">
        <v>45378</v>
      </c>
      <c r="F236" s="4">
        <v>46451</v>
      </c>
      <c r="G236">
        <v>91623597.629999995</v>
      </c>
    </row>
    <row r="237" spans="1:7" x14ac:dyDescent="0.45">
      <c r="A237" t="s">
        <v>310</v>
      </c>
      <c r="B237" t="s">
        <v>204</v>
      </c>
      <c r="C237" t="s">
        <v>299</v>
      </c>
      <c r="D237" t="s">
        <v>7</v>
      </c>
      <c r="E237" s="4">
        <v>44372</v>
      </c>
      <c r="F237" s="4">
        <v>46914</v>
      </c>
      <c r="G237">
        <v>47940834.409999996</v>
      </c>
    </row>
    <row r="238" spans="1:7" x14ac:dyDescent="0.45">
      <c r="A238" t="s">
        <v>310</v>
      </c>
      <c r="B238" t="s">
        <v>204</v>
      </c>
      <c r="C238" t="s">
        <v>311</v>
      </c>
      <c r="D238" t="s">
        <v>7</v>
      </c>
      <c r="E238" s="4">
        <v>44372</v>
      </c>
      <c r="F238" s="4">
        <v>46914</v>
      </c>
      <c r="G238">
        <v>7741218.3499999996</v>
      </c>
    </row>
    <row r="239" spans="1:7" x14ac:dyDescent="0.45">
      <c r="A239" t="s">
        <v>310</v>
      </c>
      <c r="B239" t="s">
        <v>204</v>
      </c>
      <c r="C239" t="s">
        <v>258</v>
      </c>
      <c r="D239" t="s">
        <v>7</v>
      </c>
      <c r="E239" s="4">
        <v>44372</v>
      </c>
      <c r="F239" s="4">
        <v>46914</v>
      </c>
      <c r="G239">
        <v>1617565.33</v>
      </c>
    </row>
    <row r="240" spans="1:7" x14ac:dyDescent="0.45">
      <c r="A240" t="s">
        <v>310</v>
      </c>
      <c r="B240" t="s">
        <v>204</v>
      </c>
      <c r="C240" t="s">
        <v>312</v>
      </c>
      <c r="D240" t="s">
        <v>7</v>
      </c>
      <c r="E240" s="4">
        <v>44372</v>
      </c>
      <c r="F240" s="4">
        <v>46914</v>
      </c>
      <c r="G240">
        <v>3225549.73</v>
      </c>
    </row>
    <row r="241" spans="1:7" x14ac:dyDescent="0.45">
      <c r="A241" t="s">
        <v>310</v>
      </c>
      <c r="B241" t="s">
        <v>204</v>
      </c>
      <c r="C241" t="s">
        <v>313</v>
      </c>
      <c r="D241" t="s">
        <v>7</v>
      </c>
      <c r="E241" s="4">
        <v>44372</v>
      </c>
      <c r="F241" s="4">
        <v>46914</v>
      </c>
      <c r="G241">
        <v>20295050.149999999</v>
      </c>
    </row>
    <row r="242" spans="1:7" x14ac:dyDescent="0.45">
      <c r="A242" t="s">
        <v>310</v>
      </c>
      <c r="B242" t="s">
        <v>204</v>
      </c>
      <c r="C242" t="s">
        <v>314</v>
      </c>
      <c r="D242" t="s">
        <v>7</v>
      </c>
      <c r="E242" s="4">
        <v>44372</v>
      </c>
      <c r="F242" s="4">
        <v>46914</v>
      </c>
      <c r="G242">
        <v>342357077.01999998</v>
      </c>
    </row>
    <row r="243" spans="1:7" x14ac:dyDescent="0.45">
      <c r="A243" t="s">
        <v>310</v>
      </c>
      <c r="B243" t="s">
        <v>204</v>
      </c>
      <c r="C243" t="s">
        <v>220</v>
      </c>
      <c r="D243" t="s">
        <v>7</v>
      </c>
      <c r="E243" s="4">
        <v>44372</v>
      </c>
      <c r="F243" s="4">
        <v>46914</v>
      </c>
      <c r="G243">
        <v>7465215.0599999996</v>
      </c>
    </row>
    <row r="244" spans="1:7" x14ac:dyDescent="0.45">
      <c r="A244" t="s">
        <v>310</v>
      </c>
      <c r="B244" t="s">
        <v>204</v>
      </c>
      <c r="C244" t="s">
        <v>253</v>
      </c>
      <c r="D244" t="s">
        <v>7</v>
      </c>
      <c r="E244" s="4">
        <v>44372</v>
      </c>
      <c r="F244" s="4">
        <v>46914</v>
      </c>
      <c r="G244">
        <v>330318691.36000001</v>
      </c>
    </row>
    <row r="245" spans="1:7" x14ac:dyDescent="0.45">
      <c r="A245" t="s">
        <v>315</v>
      </c>
      <c r="B245" t="s">
        <v>201</v>
      </c>
      <c r="C245" t="s">
        <v>206</v>
      </c>
      <c r="D245" t="s">
        <v>7</v>
      </c>
      <c r="E245" s="4">
        <v>43761</v>
      </c>
      <c r="F245" s="4">
        <v>46301</v>
      </c>
      <c r="G245">
        <v>37142441.689999998</v>
      </c>
    </row>
    <row r="246" spans="1:7" x14ac:dyDescent="0.45">
      <c r="A246" t="s">
        <v>316</v>
      </c>
      <c r="B246" t="s">
        <v>317</v>
      </c>
      <c r="C246" t="s">
        <v>271</v>
      </c>
      <c r="D246" t="s">
        <v>7</v>
      </c>
      <c r="E246" s="4">
        <v>44453</v>
      </c>
      <c r="F246" s="4">
        <v>46252</v>
      </c>
      <c r="G246">
        <v>11138693.51</v>
      </c>
    </row>
    <row r="247" spans="1:7" x14ac:dyDescent="0.45">
      <c r="A247" t="s">
        <v>318</v>
      </c>
      <c r="B247" t="s">
        <v>319</v>
      </c>
      <c r="C247" t="s">
        <v>320</v>
      </c>
      <c r="D247" t="s">
        <v>7</v>
      </c>
      <c r="E247" s="4">
        <v>45527</v>
      </c>
      <c r="F247" s="4">
        <v>45873</v>
      </c>
      <c r="G247">
        <v>346364941.62</v>
      </c>
    </row>
    <row r="248" spans="1:7" x14ac:dyDescent="0.45">
      <c r="A248" t="s">
        <v>321</v>
      </c>
      <c r="B248" t="s">
        <v>322</v>
      </c>
      <c r="C248" t="s">
        <v>323</v>
      </c>
      <c r="D248" t="s">
        <v>7</v>
      </c>
      <c r="E248" s="4">
        <v>44914</v>
      </c>
      <c r="F248" s="4">
        <v>45668</v>
      </c>
      <c r="G248">
        <v>8476579.1699999999</v>
      </c>
    </row>
    <row r="249" spans="1:7" x14ac:dyDescent="0.45">
      <c r="A249" t="s">
        <v>324</v>
      </c>
      <c r="B249" t="s">
        <v>242</v>
      </c>
      <c r="C249" t="s">
        <v>313</v>
      </c>
      <c r="D249" t="s">
        <v>7</v>
      </c>
      <c r="E249" s="4">
        <v>44212</v>
      </c>
      <c r="F249" s="4">
        <v>46748</v>
      </c>
      <c r="G249">
        <v>236135537.27000001</v>
      </c>
    </row>
    <row r="250" spans="1:7" x14ac:dyDescent="0.45">
      <c r="A250" t="s">
        <v>325</v>
      </c>
      <c r="B250" t="s">
        <v>322</v>
      </c>
      <c r="C250" t="s">
        <v>13</v>
      </c>
      <c r="D250" t="s">
        <v>7</v>
      </c>
      <c r="E250" s="4">
        <v>44943</v>
      </c>
      <c r="F250" s="4">
        <v>48568</v>
      </c>
      <c r="G250">
        <v>53972006.219999999</v>
      </c>
    </row>
    <row r="251" spans="1:7" x14ac:dyDescent="0.45">
      <c r="A251" t="s">
        <v>326</v>
      </c>
      <c r="B251" t="s">
        <v>266</v>
      </c>
      <c r="C251" t="s">
        <v>327</v>
      </c>
      <c r="D251" t="s">
        <v>7</v>
      </c>
      <c r="E251" s="4">
        <v>44564</v>
      </c>
      <c r="F251" s="4">
        <v>45289</v>
      </c>
      <c r="G251">
        <v>69756401.939999998</v>
      </c>
    </row>
    <row r="252" spans="1:7" x14ac:dyDescent="0.45">
      <c r="A252" t="s">
        <v>328</v>
      </c>
      <c r="B252" t="s">
        <v>210</v>
      </c>
      <c r="C252" t="s">
        <v>283</v>
      </c>
      <c r="D252" t="s">
        <v>7</v>
      </c>
      <c r="E252" s="4">
        <v>44545</v>
      </c>
      <c r="F252" s="4">
        <v>45261</v>
      </c>
      <c r="G252">
        <v>27332586.41</v>
      </c>
    </row>
    <row r="253" spans="1:7" x14ac:dyDescent="0.45">
      <c r="A253" t="s">
        <v>329</v>
      </c>
      <c r="B253" t="s">
        <v>330</v>
      </c>
      <c r="C253" t="s">
        <v>261</v>
      </c>
      <c r="D253" t="s">
        <v>7</v>
      </c>
      <c r="E253" s="4">
        <v>43945</v>
      </c>
      <c r="F253" s="4">
        <v>45056</v>
      </c>
      <c r="G253">
        <v>9789463.2100000009</v>
      </c>
    </row>
    <row r="254" spans="1:7" x14ac:dyDescent="0.45">
      <c r="A254" t="s">
        <v>331</v>
      </c>
      <c r="B254" t="s">
        <v>332</v>
      </c>
      <c r="C254" t="s">
        <v>333</v>
      </c>
      <c r="D254" t="s">
        <v>7</v>
      </c>
      <c r="E254" s="4">
        <v>44265</v>
      </c>
      <c r="F254" s="4">
        <v>44634</v>
      </c>
      <c r="G254">
        <v>97686543.799999997</v>
      </c>
    </row>
    <row r="255" spans="1:7" x14ac:dyDescent="0.45">
      <c r="A255" t="s">
        <v>334</v>
      </c>
      <c r="B255" t="s">
        <v>335</v>
      </c>
      <c r="C255" t="s">
        <v>327</v>
      </c>
      <c r="D255" t="s">
        <v>7</v>
      </c>
      <c r="E255" s="4">
        <v>43662</v>
      </c>
      <c r="F255" s="4">
        <v>44037</v>
      </c>
      <c r="G255">
        <v>1482481.67</v>
      </c>
    </row>
    <row r="256" spans="1:7" x14ac:dyDescent="0.45">
      <c r="A256" t="s">
        <v>334</v>
      </c>
      <c r="B256" t="s">
        <v>335</v>
      </c>
      <c r="C256" t="s">
        <v>336</v>
      </c>
      <c r="D256" t="s">
        <v>7</v>
      </c>
      <c r="E256" s="4">
        <v>43662</v>
      </c>
      <c r="F256" s="4">
        <v>44037</v>
      </c>
      <c r="G256">
        <v>20660640.600000001</v>
      </c>
    </row>
    <row r="257" spans="1:7" x14ac:dyDescent="0.45">
      <c r="A257" t="s">
        <v>334</v>
      </c>
      <c r="B257" t="s">
        <v>335</v>
      </c>
      <c r="C257" t="s">
        <v>337</v>
      </c>
      <c r="D257" t="s">
        <v>7</v>
      </c>
      <c r="E257" s="4">
        <v>43662</v>
      </c>
      <c r="F257" s="4">
        <v>44037</v>
      </c>
      <c r="G257">
        <v>30311842.34</v>
      </c>
    </row>
    <row r="258" spans="1:7" x14ac:dyDescent="0.45">
      <c r="A258" t="s">
        <v>334</v>
      </c>
      <c r="B258" t="s">
        <v>335</v>
      </c>
      <c r="C258" t="s">
        <v>264</v>
      </c>
      <c r="D258" t="s">
        <v>7</v>
      </c>
      <c r="E258" s="4">
        <v>43662</v>
      </c>
      <c r="F258" s="4">
        <v>44037</v>
      </c>
      <c r="G258">
        <v>4984489.04</v>
      </c>
    </row>
    <row r="259" spans="1:7" x14ac:dyDescent="0.45">
      <c r="A259" t="s">
        <v>334</v>
      </c>
      <c r="B259" t="s">
        <v>335</v>
      </c>
      <c r="C259" t="s">
        <v>338</v>
      </c>
      <c r="D259" t="s">
        <v>7</v>
      </c>
      <c r="E259" s="4">
        <v>43662</v>
      </c>
      <c r="F259" s="4">
        <v>44037</v>
      </c>
      <c r="G259">
        <v>396035722.19</v>
      </c>
    </row>
    <row r="260" spans="1:7" x14ac:dyDescent="0.45">
      <c r="A260" t="s">
        <v>334</v>
      </c>
      <c r="B260" t="s">
        <v>335</v>
      </c>
      <c r="C260" t="s">
        <v>10</v>
      </c>
      <c r="D260" t="s">
        <v>7</v>
      </c>
      <c r="E260" s="4">
        <v>43662</v>
      </c>
      <c r="F260" s="4">
        <v>44037</v>
      </c>
      <c r="G260">
        <v>2870091.15</v>
      </c>
    </row>
    <row r="261" spans="1:7" x14ac:dyDescent="0.45">
      <c r="A261" t="s">
        <v>334</v>
      </c>
      <c r="B261" t="s">
        <v>335</v>
      </c>
      <c r="C261" t="s">
        <v>339</v>
      </c>
      <c r="D261" t="s">
        <v>7</v>
      </c>
      <c r="E261" s="4">
        <v>43662</v>
      </c>
      <c r="F261" s="4">
        <v>44037</v>
      </c>
      <c r="G261">
        <v>16755838.199999999</v>
      </c>
    </row>
    <row r="262" spans="1:7" x14ac:dyDescent="0.45">
      <c r="A262" t="s">
        <v>334</v>
      </c>
      <c r="B262" t="s">
        <v>335</v>
      </c>
      <c r="C262" t="s">
        <v>340</v>
      </c>
      <c r="D262" t="s">
        <v>7</v>
      </c>
      <c r="E262" s="4">
        <v>43662</v>
      </c>
      <c r="F262" s="4">
        <v>44037</v>
      </c>
      <c r="G262">
        <v>36213336.009999998</v>
      </c>
    </row>
    <row r="263" spans="1:7" x14ac:dyDescent="0.45">
      <c r="A263" t="s">
        <v>334</v>
      </c>
      <c r="B263" t="s">
        <v>335</v>
      </c>
      <c r="C263" t="s">
        <v>261</v>
      </c>
      <c r="D263" t="s">
        <v>7</v>
      </c>
      <c r="E263" s="4">
        <v>43662</v>
      </c>
      <c r="F263" s="4">
        <v>44037</v>
      </c>
      <c r="G263">
        <v>374953968.02999997</v>
      </c>
    </row>
    <row r="264" spans="1:7" x14ac:dyDescent="0.45">
      <c r="A264" t="s">
        <v>334</v>
      </c>
      <c r="B264" t="s">
        <v>335</v>
      </c>
      <c r="C264" t="s">
        <v>341</v>
      </c>
      <c r="D264" t="s">
        <v>7</v>
      </c>
      <c r="E264" s="4">
        <v>43662</v>
      </c>
      <c r="F264" s="4">
        <v>44037</v>
      </c>
      <c r="G264">
        <v>364473217.13999999</v>
      </c>
    </row>
    <row r="265" spans="1:7" x14ac:dyDescent="0.45">
      <c r="A265" t="s">
        <v>334</v>
      </c>
      <c r="B265" t="s">
        <v>335</v>
      </c>
      <c r="C265" t="s">
        <v>342</v>
      </c>
      <c r="D265" t="s">
        <v>7</v>
      </c>
      <c r="E265" s="4">
        <v>43662</v>
      </c>
      <c r="F265" s="4">
        <v>44037</v>
      </c>
      <c r="G265">
        <v>359053889.36000001</v>
      </c>
    </row>
    <row r="266" spans="1:7" x14ac:dyDescent="0.45">
      <c r="A266" t="s">
        <v>334</v>
      </c>
      <c r="B266" t="s">
        <v>335</v>
      </c>
      <c r="C266" t="s">
        <v>343</v>
      </c>
      <c r="D266" t="s">
        <v>7</v>
      </c>
      <c r="E266" s="4">
        <v>43662</v>
      </c>
      <c r="F266" s="4">
        <v>44037</v>
      </c>
      <c r="G266">
        <v>8439680.4399999995</v>
      </c>
    </row>
    <row r="267" spans="1:7" x14ac:dyDescent="0.45">
      <c r="A267" t="s">
        <v>344</v>
      </c>
      <c r="B267" t="s">
        <v>219</v>
      </c>
      <c r="C267" t="s">
        <v>345</v>
      </c>
      <c r="D267" t="s">
        <v>7</v>
      </c>
      <c r="E267" s="4">
        <v>44607</v>
      </c>
      <c r="F267" s="4">
        <v>46446</v>
      </c>
      <c r="G267">
        <v>9484086.1699999999</v>
      </c>
    </row>
    <row r="268" spans="1:7" x14ac:dyDescent="0.45">
      <c r="A268" t="s">
        <v>346</v>
      </c>
      <c r="B268" t="s">
        <v>347</v>
      </c>
      <c r="C268" t="s">
        <v>348</v>
      </c>
      <c r="D268" t="s">
        <v>7</v>
      </c>
      <c r="E268" s="4">
        <v>44060</v>
      </c>
      <c r="F268" s="4">
        <v>45913</v>
      </c>
      <c r="G268">
        <v>62679666.280000001</v>
      </c>
    </row>
    <row r="269" spans="1:7" x14ac:dyDescent="0.45">
      <c r="A269" t="s">
        <v>346</v>
      </c>
      <c r="B269" t="s">
        <v>347</v>
      </c>
      <c r="C269" t="s">
        <v>342</v>
      </c>
      <c r="D269" t="s">
        <v>7</v>
      </c>
      <c r="E269" s="4">
        <v>44060</v>
      </c>
      <c r="F269" s="4">
        <v>45913</v>
      </c>
      <c r="G269">
        <v>41316495.07</v>
      </c>
    </row>
    <row r="270" spans="1:7" x14ac:dyDescent="0.45">
      <c r="A270" t="s">
        <v>346</v>
      </c>
      <c r="B270" t="s">
        <v>347</v>
      </c>
      <c r="C270" t="s">
        <v>202</v>
      </c>
      <c r="D270" t="s">
        <v>7</v>
      </c>
      <c r="E270" s="4">
        <v>44060</v>
      </c>
      <c r="F270" s="4">
        <v>45913</v>
      </c>
      <c r="G270">
        <v>8719597.8499999996</v>
      </c>
    </row>
    <row r="271" spans="1:7" x14ac:dyDescent="0.45">
      <c r="A271" t="s">
        <v>346</v>
      </c>
      <c r="B271" t="s">
        <v>347</v>
      </c>
      <c r="C271" t="s">
        <v>349</v>
      </c>
      <c r="D271" t="s">
        <v>7</v>
      </c>
      <c r="E271" s="4">
        <v>44060</v>
      </c>
      <c r="F271" s="4">
        <v>45913</v>
      </c>
      <c r="G271">
        <v>83220943.129999995</v>
      </c>
    </row>
    <row r="272" spans="1:7" x14ac:dyDescent="0.45">
      <c r="A272" t="s">
        <v>346</v>
      </c>
      <c r="B272" t="s">
        <v>347</v>
      </c>
      <c r="C272" t="s">
        <v>333</v>
      </c>
      <c r="D272" t="s">
        <v>7</v>
      </c>
      <c r="E272" s="4">
        <v>44060</v>
      </c>
      <c r="F272" s="4">
        <v>45913</v>
      </c>
      <c r="G272">
        <v>39094640.759999998</v>
      </c>
    </row>
    <row r="273" spans="1:7" x14ac:dyDescent="0.45">
      <c r="A273" t="s">
        <v>346</v>
      </c>
      <c r="B273" t="s">
        <v>347</v>
      </c>
      <c r="C273" t="s">
        <v>350</v>
      </c>
      <c r="D273" t="s">
        <v>7</v>
      </c>
      <c r="E273" s="4">
        <v>44060</v>
      </c>
      <c r="F273" s="4">
        <v>45913</v>
      </c>
      <c r="G273">
        <v>98930729.329999998</v>
      </c>
    </row>
    <row r="274" spans="1:7" x14ac:dyDescent="0.45">
      <c r="A274" t="s">
        <v>346</v>
      </c>
      <c r="B274" t="s">
        <v>347</v>
      </c>
      <c r="C274" t="s">
        <v>351</v>
      </c>
      <c r="D274" t="s">
        <v>7</v>
      </c>
      <c r="E274" s="4">
        <v>44060</v>
      </c>
      <c r="F274" s="4">
        <v>45913</v>
      </c>
      <c r="G274">
        <v>26882428.73</v>
      </c>
    </row>
    <row r="275" spans="1:7" x14ac:dyDescent="0.45">
      <c r="A275" t="s">
        <v>346</v>
      </c>
      <c r="B275" t="s">
        <v>347</v>
      </c>
      <c r="C275" t="s">
        <v>271</v>
      </c>
      <c r="D275" t="s">
        <v>7</v>
      </c>
      <c r="E275" s="4">
        <v>44060</v>
      </c>
      <c r="F275" s="4">
        <v>45913</v>
      </c>
      <c r="G275">
        <v>78399148.25</v>
      </c>
    </row>
    <row r="276" spans="1:7" x14ac:dyDescent="0.45">
      <c r="A276" t="s">
        <v>352</v>
      </c>
      <c r="B276" t="s">
        <v>353</v>
      </c>
      <c r="C276" t="s">
        <v>339</v>
      </c>
      <c r="D276" t="s">
        <v>7</v>
      </c>
      <c r="E276" s="4">
        <v>45508</v>
      </c>
      <c r="F276" s="4">
        <v>45883</v>
      </c>
      <c r="G276">
        <v>8193823.5999999996</v>
      </c>
    </row>
    <row r="277" spans="1:7" x14ac:dyDescent="0.45">
      <c r="A277" t="s">
        <v>354</v>
      </c>
      <c r="B277" t="s">
        <v>242</v>
      </c>
      <c r="C277" t="s">
        <v>355</v>
      </c>
      <c r="D277" t="s">
        <v>7</v>
      </c>
      <c r="E277" s="4">
        <v>43681</v>
      </c>
      <c r="F277" s="4">
        <v>44755</v>
      </c>
      <c r="G277">
        <v>36267540.420000002</v>
      </c>
    </row>
    <row r="278" spans="1:7" x14ac:dyDescent="0.45">
      <c r="A278" t="s">
        <v>356</v>
      </c>
      <c r="B278" t="s">
        <v>353</v>
      </c>
      <c r="C278" t="s">
        <v>338</v>
      </c>
      <c r="D278" t="s">
        <v>7</v>
      </c>
      <c r="E278" s="4">
        <v>44061</v>
      </c>
      <c r="F278" s="4">
        <v>44408</v>
      </c>
      <c r="G278">
        <v>5574168.0199999996</v>
      </c>
    </row>
    <row r="279" spans="1:7" x14ac:dyDescent="0.45">
      <c r="A279" t="s">
        <v>357</v>
      </c>
      <c r="B279" t="s">
        <v>319</v>
      </c>
      <c r="C279" t="s">
        <v>306</v>
      </c>
      <c r="D279" t="s">
        <v>7</v>
      </c>
      <c r="E279" s="4">
        <v>44448</v>
      </c>
      <c r="F279" s="4">
        <v>46991</v>
      </c>
      <c r="G279">
        <v>62824395.020000003</v>
      </c>
    </row>
    <row r="280" spans="1:7" x14ac:dyDescent="0.45">
      <c r="A280" t="s">
        <v>358</v>
      </c>
      <c r="B280" t="s">
        <v>237</v>
      </c>
      <c r="C280" t="s">
        <v>359</v>
      </c>
      <c r="D280" t="s">
        <v>7</v>
      </c>
      <c r="E280" s="4">
        <v>44014</v>
      </c>
      <c r="F280" s="4">
        <v>44744</v>
      </c>
      <c r="G280">
        <v>44310803.229999997</v>
      </c>
    </row>
    <row r="281" spans="1:7" x14ac:dyDescent="0.45">
      <c r="A281" t="s">
        <v>358</v>
      </c>
      <c r="B281" t="s">
        <v>237</v>
      </c>
      <c r="C281" t="s">
        <v>360</v>
      </c>
      <c r="D281" t="s">
        <v>7</v>
      </c>
      <c r="E281" s="4">
        <v>44014</v>
      </c>
      <c r="F281" s="4">
        <v>44744</v>
      </c>
      <c r="G281">
        <v>6868171.0099999998</v>
      </c>
    </row>
    <row r="282" spans="1:7" x14ac:dyDescent="0.45">
      <c r="A282" t="s">
        <v>358</v>
      </c>
      <c r="B282" t="s">
        <v>237</v>
      </c>
      <c r="C282" t="s">
        <v>361</v>
      </c>
      <c r="D282" t="s">
        <v>7</v>
      </c>
      <c r="E282" s="4">
        <v>44014</v>
      </c>
      <c r="F282" s="4">
        <v>44744</v>
      </c>
      <c r="G282">
        <v>39879523.350000001</v>
      </c>
    </row>
    <row r="283" spans="1:7" x14ac:dyDescent="0.45">
      <c r="A283" t="s">
        <v>358</v>
      </c>
      <c r="B283" t="s">
        <v>237</v>
      </c>
      <c r="C283" t="s">
        <v>253</v>
      </c>
      <c r="D283" t="s">
        <v>7</v>
      </c>
      <c r="E283" s="4">
        <v>44014</v>
      </c>
      <c r="F283" s="4">
        <v>44744</v>
      </c>
      <c r="G283">
        <v>1897405.28</v>
      </c>
    </row>
    <row r="284" spans="1:7" x14ac:dyDescent="0.45">
      <c r="A284" t="s">
        <v>358</v>
      </c>
      <c r="B284" t="s">
        <v>237</v>
      </c>
      <c r="C284" t="s">
        <v>348</v>
      </c>
      <c r="D284" t="s">
        <v>7</v>
      </c>
      <c r="E284" s="4">
        <v>44014</v>
      </c>
      <c r="F284" s="4">
        <v>44744</v>
      </c>
      <c r="G284">
        <v>97296111.459999993</v>
      </c>
    </row>
    <row r="285" spans="1:7" x14ac:dyDescent="0.45">
      <c r="A285" t="s">
        <v>358</v>
      </c>
      <c r="B285" t="s">
        <v>237</v>
      </c>
      <c r="C285" t="s">
        <v>362</v>
      </c>
      <c r="D285" t="s">
        <v>7</v>
      </c>
      <c r="E285" s="4">
        <v>44014</v>
      </c>
      <c r="F285" s="4">
        <v>44744</v>
      </c>
      <c r="G285">
        <v>3385205.02</v>
      </c>
    </row>
    <row r="286" spans="1:7" x14ac:dyDescent="0.45">
      <c r="A286" t="s">
        <v>358</v>
      </c>
      <c r="B286" t="s">
        <v>237</v>
      </c>
      <c r="C286" t="s">
        <v>363</v>
      </c>
      <c r="D286" t="s">
        <v>7</v>
      </c>
      <c r="E286" s="4">
        <v>44014</v>
      </c>
      <c r="F286" s="4">
        <v>44744</v>
      </c>
      <c r="G286">
        <v>313448924.95999998</v>
      </c>
    </row>
    <row r="287" spans="1:7" x14ac:dyDescent="0.45">
      <c r="A287" t="s">
        <v>358</v>
      </c>
      <c r="B287" t="s">
        <v>237</v>
      </c>
      <c r="C287" t="s">
        <v>305</v>
      </c>
      <c r="D287" t="s">
        <v>7</v>
      </c>
      <c r="E287" s="4">
        <v>44014</v>
      </c>
      <c r="F287" s="4">
        <v>44744</v>
      </c>
      <c r="G287">
        <v>89869481.459999993</v>
      </c>
    </row>
    <row r="288" spans="1:7" x14ac:dyDescent="0.45">
      <c r="A288" t="s">
        <v>364</v>
      </c>
      <c r="B288" t="s">
        <v>291</v>
      </c>
      <c r="C288" t="s">
        <v>251</v>
      </c>
      <c r="D288" t="s">
        <v>7</v>
      </c>
      <c r="E288" s="4">
        <v>45606</v>
      </c>
      <c r="F288" s="4">
        <v>51098</v>
      </c>
      <c r="G288">
        <v>353499131.50999999</v>
      </c>
    </row>
    <row r="289" spans="1:7" x14ac:dyDescent="0.45">
      <c r="A289" t="s">
        <v>365</v>
      </c>
      <c r="B289" t="s">
        <v>245</v>
      </c>
      <c r="C289" t="s">
        <v>366</v>
      </c>
      <c r="D289" t="s">
        <v>7</v>
      </c>
      <c r="E289" s="4">
        <v>43476</v>
      </c>
      <c r="F289" s="4">
        <v>45289</v>
      </c>
      <c r="G289">
        <v>23101281.609999999</v>
      </c>
    </row>
    <row r="290" spans="1:7" x14ac:dyDescent="0.45">
      <c r="A290" t="s">
        <v>367</v>
      </c>
      <c r="B290" t="s">
        <v>335</v>
      </c>
      <c r="C290" t="s">
        <v>368</v>
      </c>
      <c r="D290" t="s">
        <v>7</v>
      </c>
      <c r="E290" s="4">
        <v>43881</v>
      </c>
      <c r="F290" s="4">
        <v>46445</v>
      </c>
      <c r="G290">
        <v>92154611.439999998</v>
      </c>
    </row>
    <row r="291" spans="1:7" x14ac:dyDescent="0.45">
      <c r="A291" t="s">
        <v>369</v>
      </c>
      <c r="B291" t="s">
        <v>335</v>
      </c>
      <c r="C291" t="s">
        <v>370</v>
      </c>
      <c r="D291" t="s">
        <v>7</v>
      </c>
      <c r="E291" s="4">
        <v>45317</v>
      </c>
      <c r="F291" s="4">
        <v>46400</v>
      </c>
      <c r="G291">
        <v>478094253.97000003</v>
      </c>
    </row>
    <row r="292" spans="1:7" x14ac:dyDescent="0.45">
      <c r="A292" t="s">
        <v>371</v>
      </c>
      <c r="B292" t="s">
        <v>372</v>
      </c>
      <c r="C292" t="s">
        <v>227</v>
      </c>
      <c r="D292" t="s">
        <v>7</v>
      </c>
      <c r="E292" s="4">
        <v>45427</v>
      </c>
      <c r="F292" s="4">
        <v>47964</v>
      </c>
      <c r="G292">
        <v>8680019.1300000008</v>
      </c>
    </row>
    <row r="293" spans="1:7" x14ac:dyDescent="0.45">
      <c r="A293" t="s">
        <v>373</v>
      </c>
      <c r="B293" t="s">
        <v>335</v>
      </c>
      <c r="C293" t="s">
        <v>374</v>
      </c>
      <c r="D293" t="s">
        <v>7</v>
      </c>
      <c r="E293" s="4">
        <v>43782</v>
      </c>
      <c r="F293" s="4">
        <v>44518</v>
      </c>
      <c r="G293">
        <v>97624253.510000005</v>
      </c>
    </row>
    <row r="294" spans="1:7" x14ac:dyDescent="0.45">
      <c r="A294" t="s">
        <v>375</v>
      </c>
      <c r="B294" t="s">
        <v>376</v>
      </c>
      <c r="C294" t="s">
        <v>345</v>
      </c>
      <c r="D294" t="s">
        <v>7</v>
      </c>
      <c r="E294" s="4">
        <v>44130</v>
      </c>
      <c r="F294" s="4">
        <v>44870</v>
      </c>
      <c r="G294">
        <v>70998801.280000001</v>
      </c>
    </row>
    <row r="295" spans="1:7" x14ac:dyDescent="0.45">
      <c r="A295" t="s">
        <v>377</v>
      </c>
      <c r="B295" t="s">
        <v>378</v>
      </c>
      <c r="C295" t="s">
        <v>379</v>
      </c>
      <c r="D295" t="s">
        <v>7</v>
      </c>
      <c r="E295" s="4">
        <v>45598</v>
      </c>
      <c r="F295" s="4">
        <v>46326</v>
      </c>
      <c r="G295">
        <v>6216164.25</v>
      </c>
    </row>
    <row r="296" spans="1:7" x14ac:dyDescent="0.45">
      <c r="A296" t="s">
        <v>380</v>
      </c>
      <c r="B296" t="s">
        <v>381</v>
      </c>
      <c r="C296" t="s">
        <v>382</v>
      </c>
      <c r="D296" t="s">
        <v>7</v>
      </c>
      <c r="E296" s="4">
        <v>43916</v>
      </c>
      <c r="F296" s="4">
        <v>45004</v>
      </c>
      <c r="G296">
        <v>165817768.15000001</v>
      </c>
    </row>
    <row r="297" spans="1:7" x14ac:dyDescent="0.45">
      <c r="A297" t="s">
        <v>383</v>
      </c>
      <c r="B297" t="s">
        <v>384</v>
      </c>
      <c r="C297" t="s">
        <v>374</v>
      </c>
      <c r="D297" t="s">
        <v>7</v>
      </c>
      <c r="E297" s="4">
        <v>45469</v>
      </c>
      <c r="F297" s="4">
        <v>45808</v>
      </c>
      <c r="G297">
        <v>30305322.609999999</v>
      </c>
    </row>
    <row r="298" spans="1:7" x14ac:dyDescent="0.45">
      <c r="A298" t="s">
        <v>385</v>
      </c>
      <c r="B298" t="s">
        <v>298</v>
      </c>
      <c r="C298" t="s">
        <v>270</v>
      </c>
      <c r="D298" t="s">
        <v>7</v>
      </c>
      <c r="E298" s="4">
        <v>43647</v>
      </c>
      <c r="F298" s="4">
        <v>44354</v>
      </c>
      <c r="G298">
        <v>4317270.93</v>
      </c>
    </row>
    <row r="299" spans="1:7" x14ac:dyDescent="0.45">
      <c r="A299" t="s">
        <v>386</v>
      </c>
      <c r="B299" t="s">
        <v>239</v>
      </c>
      <c r="C299" t="s">
        <v>387</v>
      </c>
      <c r="D299" t="s">
        <v>7</v>
      </c>
      <c r="E299" s="4">
        <v>43777</v>
      </c>
      <c r="F299" s="4">
        <v>44881</v>
      </c>
      <c r="G299">
        <v>64907397.630000003</v>
      </c>
    </row>
    <row r="300" spans="1:7" x14ac:dyDescent="0.45">
      <c r="A300" t="s">
        <v>388</v>
      </c>
      <c r="B300" t="s">
        <v>378</v>
      </c>
      <c r="C300" t="s">
        <v>389</v>
      </c>
      <c r="D300" t="s">
        <v>7</v>
      </c>
      <c r="E300" s="4">
        <v>45477</v>
      </c>
      <c r="F300" s="4">
        <v>45872</v>
      </c>
      <c r="G300">
        <v>138876799.44999999</v>
      </c>
    </row>
    <row r="301" spans="1:7" x14ac:dyDescent="0.45">
      <c r="A301" t="s">
        <v>390</v>
      </c>
      <c r="B301" t="s">
        <v>322</v>
      </c>
      <c r="C301" t="s">
        <v>207</v>
      </c>
      <c r="D301" t="s">
        <v>7</v>
      </c>
      <c r="E301" s="4">
        <v>45450</v>
      </c>
      <c r="F301" s="4">
        <v>46210</v>
      </c>
      <c r="G301">
        <v>18941916.210000001</v>
      </c>
    </row>
    <row r="302" spans="1:7" x14ac:dyDescent="0.45">
      <c r="A302" t="s">
        <v>390</v>
      </c>
      <c r="B302" t="s">
        <v>322</v>
      </c>
      <c r="C302" t="s">
        <v>263</v>
      </c>
      <c r="D302" t="s">
        <v>7</v>
      </c>
      <c r="E302" s="4">
        <v>45450</v>
      </c>
      <c r="F302" s="4">
        <v>46210</v>
      </c>
      <c r="G302">
        <v>9800582.7699999996</v>
      </c>
    </row>
    <row r="303" spans="1:7" x14ac:dyDescent="0.45">
      <c r="A303" t="s">
        <v>390</v>
      </c>
      <c r="B303" t="s">
        <v>322</v>
      </c>
      <c r="C303" t="s">
        <v>306</v>
      </c>
      <c r="D303" t="s">
        <v>7</v>
      </c>
      <c r="E303" s="4">
        <v>45450</v>
      </c>
      <c r="F303" s="4">
        <v>46210</v>
      </c>
      <c r="G303">
        <v>86322986.959999993</v>
      </c>
    </row>
    <row r="304" spans="1:7" x14ac:dyDescent="0.45">
      <c r="A304" t="s">
        <v>390</v>
      </c>
      <c r="B304" t="s">
        <v>322</v>
      </c>
      <c r="C304" t="s">
        <v>248</v>
      </c>
      <c r="D304" t="s">
        <v>7</v>
      </c>
      <c r="E304" s="4">
        <v>45450</v>
      </c>
      <c r="F304" s="4">
        <v>46210</v>
      </c>
      <c r="G304">
        <v>63743136.359999999</v>
      </c>
    </row>
    <row r="305" spans="1:7" x14ac:dyDescent="0.45">
      <c r="A305" t="s">
        <v>390</v>
      </c>
      <c r="B305" t="s">
        <v>322</v>
      </c>
      <c r="C305" t="s">
        <v>327</v>
      </c>
      <c r="D305" t="s">
        <v>7</v>
      </c>
      <c r="E305" s="4">
        <v>45450</v>
      </c>
      <c r="F305" s="4">
        <v>46210</v>
      </c>
      <c r="G305">
        <v>3192120.07</v>
      </c>
    </row>
    <row r="306" spans="1:7" x14ac:dyDescent="0.45">
      <c r="A306" t="s">
        <v>390</v>
      </c>
      <c r="B306" t="s">
        <v>322</v>
      </c>
      <c r="C306" t="s">
        <v>391</v>
      </c>
      <c r="D306" t="s">
        <v>7</v>
      </c>
      <c r="E306" s="4">
        <v>45450</v>
      </c>
      <c r="F306" s="4">
        <v>46210</v>
      </c>
      <c r="G306">
        <v>186380540.77000001</v>
      </c>
    </row>
    <row r="307" spans="1:7" x14ac:dyDescent="0.45">
      <c r="A307" t="s">
        <v>390</v>
      </c>
      <c r="B307" t="s">
        <v>322</v>
      </c>
      <c r="C307" t="s">
        <v>277</v>
      </c>
      <c r="D307" t="s">
        <v>7</v>
      </c>
      <c r="E307" s="4">
        <v>45450</v>
      </c>
      <c r="F307" s="4">
        <v>46210</v>
      </c>
      <c r="G307">
        <v>3957035.98</v>
      </c>
    </row>
    <row r="308" spans="1:7" x14ac:dyDescent="0.45">
      <c r="A308" t="s">
        <v>390</v>
      </c>
      <c r="B308" t="s">
        <v>322</v>
      </c>
      <c r="C308" t="s">
        <v>243</v>
      </c>
      <c r="D308" t="s">
        <v>7</v>
      </c>
      <c r="E308" s="4">
        <v>45450</v>
      </c>
      <c r="F308" s="4">
        <v>46210</v>
      </c>
      <c r="G308">
        <v>8725655.1400000006</v>
      </c>
    </row>
    <row r="309" spans="1:7" x14ac:dyDescent="0.45">
      <c r="A309" t="s">
        <v>392</v>
      </c>
      <c r="B309" t="s">
        <v>330</v>
      </c>
      <c r="C309" t="s">
        <v>202</v>
      </c>
      <c r="D309" t="s">
        <v>7</v>
      </c>
      <c r="E309" s="4">
        <v>43842</v>
      </c>
      <c r="F309" s="4">
        <v>45652</v>
      </c>
      <c r="G309">
        <v>25682158.129999999</v>
      </c>
    </row>
    <row r="310" spans="1:7" x14ac:dyDescent="0.45">
      <c r="A310" t="s">
        <v>393</v>
      </c>
      <c r="B310" t="s">
        <v>201</v>
      </c>
      <c r="C310" t="s">
        <v>228</v>
      </c>
      <c r="D310" t="s">
        <v>7</v>
      </c>
      <c r="E310" s="4">
        <v>44798</v>
      </c>
      <c r="F310" s="4">
        <v>45535</v>
      </c>
      <c r="G310">
        <v>29939478.079999998</v>
      </c>
    </row>
    <row r="311" spans="1:7" x14ac:dyDescent="0.45">
      <c r="A311" t="s">
        <v>394</v>
      </c>
      <c r="B311" t="s">
        <v>219</v>
      </c>
      <c r="C311" t="s">
        <v>389</v>
      </c>
      <c r="D311" t="s">
        <v>7</v>
      </c>
      <c r="E311" s="4">
        <v>44866</v>
      </c>
      <c r="F311" s="4">
        <v>45231</v>
      </c>
      <c r="G311">
        <v>19716564.670000002</v>
      </c>
    </row>
    <row r="312" spans="1:7" x14ac:dyDescent="0.45">
      <c r="A312" t="s">
        <v>395</v>
      </c>
      <c r="B312" t="s">
        <v>230</v>
      </c>
      <c r="C312" t="s">
        <v>348</v>
      </c>
      <c r="D312" t="s">
        <v>7</v>
      </c>
      <c r="E312" s="4">
        <v>44988</v>
      </c>
      <c r="F312" s="4">
        <v>45362</v>
      </c>
      <c r="G312">
        <v>74093751.680000007</v>
      </c>
    </row>
    <row r="313" spans="1:7" x14ac:dyDescent="0.45">
      <c r="A313" t="s">
        <v>396</v>
      </c>
      <c r="B313" t="s">
        <v>213</v>
      </c>
      <c r="C313" t="s">
        <v>205</v>
      </c>
      <c r="D313" t="s">
        <v>7</v>
      </c>
      <c r="E313" s="4">
        <v>45111</v>
      </c>
      <c r="F313" s="4">
        <v>46913</v>
      </c>
      <c r="G313">
        <v>6858249.9800000004</v>
      </c>
    </row>
    <row r="314" spans="1:7" x14ac:dyDescent="0.45">
      <c r="A314" t="s">
        <v>397</v>
      </c>
      <c r="B314" t="s">
        <v>319</v>
      </c>
      <c r="C314" t="s">
        <v>333</v>
      </c>
      <c r="D314" t="s">
        <v>7</v>
      </c>
      <c r="E314" s="4">
        <v>44739</v>
      </c>
      <c r="F314" s="4">
        <v>45830</v>
      </c>
      <c r="G314">
        <v>1855772.55</v>
      </c>
    </row>
    <row r="315" spans="1:7" x14ac:dyDescent="0.45">
      <c r="A315" t="s">
        <v>398</v>
      </c>
      <c r="B315" t="s">
        <v>201</v>
      </c>
      <c r="C315" t="s">
        <v>246</v>
      </c>
      <c r="D315" t="s">
        <v>7</v>
      </c>
      <c r="E315" s="4">
        <v>43523</v>
      </c>
      <c r="F315" s="4">
        <v>43885</v>
      </c>
      <c r="G315">
        <v>7701300.7199999997</v>
      </c>
    </row>
    <row r="316" spans="1:7" x14ac:dyDescent="0.45">
      <c r="A316" t="s">
        <v>399</v>
      </c>
      <c r="B316" t="s">
        <v>204</v>
      </c>
      <c r="C316" t="s">
        <v>283</v>
      </c>
      <c r="D316" t="s">
        <v>7</v>
      </c>
      <c r="E316" s="4">
        <v>45336</v>
      </c>
      <c r="F316" s="4">
        <v>46078</v>
      </c>
      <c r="G316">
        <v>4806431.7</v>
      </c>
    </row>
    <row r="317" spans="1:7" x14ac:dyDescent="0.45">
      <c r="A317" t="s">
        <v>400</v>
      </c>
      <c r="B317" t="s">
        <v>210</v>
      </c>
      <c r="C317" t="s">
        <v>336</v>
      </c>
      <c r="D317" t="s">
        <v>7</v>
      </c>
      <c r="E317" s="4">
        <v>45176</v>
      </c>
      <c r="F317" s="4">
        <v>45541</v>
      </c>
      <c r="G317">
        <v>8625473.6300000008</v>
      </c>
    </row>
    <row r="318" spans="1:7" x14ac:dyDescent="0.45">
      <c r="A318" t="s">
        <v>401</v>
      </c>
      <c r="B318" t="s">
        <v>335</v>
      </c>
      <c r="C318" t="s">
        <v>355</v>
      </c>
      <c r="D318" t="s">
        <v>7</v>
      </c>
      <c r="E318" s="4">
        <v>44829</v>
      </c>
      <c r="F318" s="4">
        <v>47393</v>
      </c>
      <c r="G318">
        <v>12362844.83</v>
      </c>
    </row>
    <row r="319" spans="1:7" x14ac:dyDescent="0.45">
      <c r="A319" t="s">
        <v>402</v>
      </c>
      <c r="B319" t="s">
        <v>245</v>
      </c>
      <c r="C319" t="s">
        <v>311</v>
      </c>
      <c r="D319" t="s">
        <v>7</v>
      </c>
      <c r="E319" s="4">
        <v>44555</v>
      </c>
      <c r="F319" s="4">
        <v>45276</v>
      </c>
      <c r="G319">
        <v>88287643.590000004</v>
      </c>
    </row>
    <row r="320" spans="1:7" x14ac:dyDescent="0.45">
      <c r="A320" t="s">
        <v>403</v>
      </c>
      <c r="B320" t="s">
        <v>404</v>
      </c>
      <c r="C320" t="s">
        <v>405</v>
      </c>
      <c r="D320" t="s">
        <v>7</v>
      </c>
      <c r="E320" s="4">
        <v>44340</v>
      </c>
      <c r="F320" s="4">
        <v>45100</v>
      </c>
      <c r="G320">
        <v>89500796.609999999</v>
      </c>
    </row>
    <row r="321" spans="1:7" x14ac:dyDescent="0.45">
      <c r="A321" t="s">
        <v>403</v>
      </c>
      <c r="B321" t="s">
        <v>404</v>
      </c>
      <c r="C321" t="s">
        <v>349</v>
      </c>
      <c r="D321" t="s">
        <v>7</v>
      </c>
      <c r="E321" s="4">
        <v>44340</v>
      </c>
      <c r="F321" s="4">
        <v>45100</v>
      </c>
      <c r="G321">
        <v>17342337.48</v>
      </c>
    </row>
    <row r="322" spans="1:7" x14ac:dyDescent="0.45">
      <c r="A322" t="s">
        <v>403</v>
      </c>
      <c r="B322" t="s">
        <v>404</v>
      </c>
      <c r="C322" t="s">
        <v>406</v>
      </c>
      <c r="D322" t="s">
        <v>7</v>
      </c>
      <c r="E322" s="4">
        <v>44340</v>
      </c>
      <c r="F322" s="4">
        <v>45100</v>
      </c>
      <c r="G322">
        <v>47276536.409999996</v>
      </c>
    </row>
    <row r="323" spans="1:7" x14ac:dyDescent="0.45">
      <c r="A323" t="s">
        <v>403</v>
      </c>
      <c r="B323" t="s">
        <v>404</v>
      </c>
      <c r="C323" t="s">
        <v>361</v>
      </c>
      <c r="D323" t="s">
        <v>7</v>
      </c>
      <c r="E323" s="4">
        <v>44340</v>
      </c>
      <c r="F323" s="4">
        <v>45100</v>
      </c>
      <c r="G323">
        <v>19980079.5</v>
      </c>
    </row>
    <row r="324" spans="1:7" x14ac:dyDescent="0.45">
      <c r="A324" t="s">
        <v>403</v>
      </c>
      <c r="B324" t="s">
        <v>404</v>
      </c>
      <c r="C324" t="s">
        <v>207</v>
      </c>
      <c r="D324" t="s">
        <v>7</v>
      </c>
      <c r="E324" s="4">
        <v>44340</v>
      </c>
      <c r="F324" s="4">
        <v>45100</v>
      </c>
      <c r="G324">
        <v>188207374.19999999</v>
      </c>
    </row>
    <row r="325" spans="1:7" x14ac:dyDescent="0.45">
      <c r="A325" t="s">
        <v>403</v>
      </c>
      <c r="B325" t="s">
        <v>404</v>
      </c>
      <c r="C325" t="s">
        <v>253</v>
      </c>
      <c r="D325" t="s">
        <v>7</v>
      </c>
      <c r="E325" s="4">
        <v>44340</v>
      </c>
      <c r="F325" s="4">
        <v>45100</v>
      </c>
      <c r="G325">
        <v>28398081.190000001</v>
      </c>
    </row>
    <row r="326" spans="1:7" x14ac:dyDescent="0.45">
      <c r="A326" t="s">
        <v>403</v>
      </c>
      <c r="B326" t="s">
        <v>404</v>
      </c>
      <c r="C326" t="s">
        <v>340</v>
      </c>
      <c r="D326" t="s">
        <v>7</v>
      </c>
      <c r="E326" s="4">
        <v>44340</v>
      </c>
      <c r="F326" s="4">
        <v>45100</v>
      </c>
      <c r="G326">
        <v>36050241.810000002</v>
      </c>
    </row>
    <row r="327" spans="1:7" x14ac:dyDescent="0.45">
      <c r="A327" t="s">
        <v>403</v>
      </c>
      <c r="B327" t="s">
        <v>404</v>
      </c>
      <c r="C327" t="s">
        <v>226</v>
      </c>
      <c r="D327" t="s">
        <v>7</v>
      </c>
      <c r="E327" s="4">
        <v>44340</v>
      </c>
      <c r="F327" s="4">
        <v>45100</v>
      </c>
      <c r="G327">
        <v>4875895.0999999996</v>
      </c>
    </row>
    <row r="328" spans="1:7" x14ac:dyDescent="0.45">
      <c r="A328" t="s">
        <v>407</v>
      </c>
      <c r="B328" t="s">
        <v>408</v>
      </c>
      <c r="C328" t="s">
        <v>214</v>
      </c>
      <c r="D328" t="s">
        <v>7</v>
      </c>
      <c r="E328" s="4">
        <v>43674</v>
      </c>
      <c r="F328" s="4">
        <v>45496</v>
      </c>
      <c r="G328">
        <v>17007635.07</v>
      </c>
    </row>
    <row r="329" spans="1:7" x14ac:dyDescent="0.45">
      <c r="A329" t="s">
        <v>409</v>
      </c>
      <c r="B329" t="s">
        <v>410</v>
      </c>
      <c r="C329" t="s">
        <v>306</v>
      </c>
      <c r="D329" t="s">
        <v>7</v>
      </c>
      <c r="E329" s="4">
        <v>44240</v>
      </c>
      <c r="F329" s="4">
        <v>44595</v>
      </c>
      <c r="G329">
        <v>432810365.23000002</v>
      </c>
    </row>
    <row r="330" spans="1:7" x14ac:dyDescent="0.45">
      <c r="A330" t="s">
        <v>411</v>
      </c>
      <c r="B330" t="s">
        <v>216</v>
      </c>
      <c r="C330" t="s">
        <v>412</v>
      </c>
      <c r="D330" t="s">
        <v>7</v>
      </c>
      <c r="E330" s="4">
        <v>45339</v>
      </c>
      <c r="F330" s="4">
        <v>46461</v>
      </c>
      <c r="G330">
        <v>75464119.510000005</v>
      </c>
    </row>
    <row r="331" spans="1:7" x14ac:dyDescent="0.45">
      <c r="A331" t="s">
        <v>411</v>
      </c>
      <c r="B331" t="s">
        <v>216</v>
      </c>
      <c r="C331" t="s">
        <v>413</v>
      </c>
      <c r="D331" t="s">
        <v>7</v>
      </c>
      <c r="E331" s="4">
        <v>45339</v>
      </c>
      <c r="F331" s="4">
        <v>46461</v>
      </c>
      <c r="G331">
        <v>23179979.640000001</v>
      </c>
    </row>
    <row r="332" spans="1:7" x14ac:dyDescent="0.45">
      <c r="A332" t="s">
        <v>411</v>
      </c>
      <c r="B332" t="s">
        <v>216</v>
      </c>
      <c r="C332" t="s">
        <v>296</v>
      </c>
      <c r="D332" t="s">
        <v>7</v>
      </c>
      <c r="E332" s="4">
        <v>45339</v>
      </c>
      <c r="F332" s="4">
        <v>46461</v>
      </c>
      <c r="G332">
        <v>68995810.950000003</v>
      </c>
    </row>
    <row r="333" spans="1:7" x14ac:dyDescent="0.45">
      <c r="A333" t="s">
        <v>411</v>
      </c>
      <c r="B333" t="s">
        <v>216</v>
      </c>
      <c r="C333" t="s">
        <v>235</v>
      </c>
      <c r="D333" t="s">
        <v>7</v>
      </c>
      <c r="E333" s="4">
        <v>45339</v>
      </c>
      <c r="F333" s="4">
        <v>46461</v>
      </c>
      <c r="G333">
        <v>77900124.269999996</v>
      </c>
    </row>
    <row r="334" spans="1:7" x14ac:dyDescent="0.45">
      <c r="A334" t="s">
        <v>411</v>
      </c>
      <c r="B334" t="s">
        <v>216</v>
      </c>
      <c r="C334" t="s">
        <v>414</v>
      </c>
      <c r="D334" t="s">
        <v>7</v>
      </c>
      <c r="E334" s="4">
        <v>45339</v>
      </c>
      <c r="F334" s="4">
        <v>46461</v>
      </c>
      <c r="G334">
        <v>60804260.509999998</v>
      </c>
    </row>
    <row r="335" spans="1:7" x14ac:dyDescent="0.45">
      <c r="A335" t="s">
        <v>411</v>
      </c>
      <c r="B335" t="s">
        <v>216</v>
      </c>
      <c r="C335" t="s">
        <v>415</v>
      </c>
      <c r="D335" t="s">
        <v>7</v>
      </c>
      <c r="E335" s="4">
        <v>45339</v>
      </c>
      <c r="F335" s="4">
        <v>46461</v>
      </c>
      <c r="G335">
        <v>8778221.8699999992</v>
      </c>
    </row>
    <row r="336" spans="1:7" x14ac:dyDescent="0.45">
      <c r="A336" t="s">
        <v>411</v>
      </c>
      <c r="B336" t="s">
        <v>216</v>
      </c>
      <c r="C336" t="s">
        <v>416</v>
      </c>
      <c r="D336" t="s">
        <v>7</v>
      </c>
      <c r="E336" s="4">
        <v>45339</v>
      </c>
      <c r="F336" s="4">
        <v>46461</v>
      </c>
      <c r="G336">
        <v>4979872.57</v>
      </c>
    </row>
    <row r="337" spans="1:7" x14ac:dyDescent="0.45">
      <c r="A337" t="s">
        <v>411</v>
      </c>
      <c r="B337" t="s">
        <v>216</v>
      </c>
      <c r="C337" t="s">
        <v>208</v>
      </c>
      <c r="D337" t="s">
        <v>7</v>
      </c>
      <c r="E337" s="4">
        <v>45339</v>
      </c>
      <c r="F337" s="4">
        <v>46461</v>
      </c>
      <c r="G337">
        <v>5566031.9699999997</v>
      </c>
    </row>
    <row r="338" spans="1:7" x14ac:dyDescent="0.45">
      <c r="A338" t="s">
        <v>411</v>
      </c>
      <c r="B338" t="s">
        <v>216</v>
      </c>
      <c r="C338" t="s">
        <v>360</v>
      </c>
      <c r="D338" t="s">
        <v>7</v>
      </c>
      <c r="E338" s="4">
        <v>45339</v>
      </c>
      <c r="F338" s="4">
        <v>46461</v>
      </c>
      <c r="G338">
        <v>445700013.56999999</v>
      </c>
    </row>
    <row r="339" spans="1:7" x14ac:dyDescent="0.45">
      <c r="A339" t="s">
        <v>411</v>
      </c>
      <c r="B339" t="s">
        <v>216</v>
      </c>
      <c r="C339" t="s">
        <v>368</v>
      </c>
      <c r="D339" t="s">
        <v>7</v>
      </c>
      <c r="E339" s="4">
        <v>45339</v>
      </c>
      <c r="F339" s="4">
        <v>46461</v>
      </c>
      <c r="G339">
        <v>55636103.560000002</v>
      </c>
    </row>
    <row r="340" spans="1:7" x14ac:dyDescent="0.45">
      <c r="A340" t="s">
        <v>411</v>
      </c>
      <c r="B340" t="s">
        <v>216</v>
      </c>
      <c r="C340" t="s">
        <v>417</v>
      </c>
      <c r="D340" t="s">
        <v>7</v>
      </c>
      <c r="E340" s="4">
        <v>45339</v>
      </c>
      <c r="F340" s="4">
        <v>46461</v>
      </c>
      <c r="G340">
        <v>90628908.900000006</v>
      </c>
    </row>
    <row r="341" spans="1:7" x14ac:dyDescent="0.45">
      <c r="A341" t="s">
        <v>411</v>
      </c>
      <c r="B341" t="s">
        <v>216</v>
      </c>
      <c r="C341" t="s">
        <v>260</v>
      </c>
      <c r="D341" t="s">
        <v>7</v>
      </c>
      <c r="E341" s="4">
        <v>45339</v>
      </c>
      <c r="F341" s="4">
        <v>46461</v>
      </c>
      <c r="G341">
        <v>6866537.0899999999</v>
      </c>
    </row>
    <row r="342" spans="1:7" x14ac:dyDescent="0.45">
      <c r="A342" t="s">
        <v>418</v>
      </c>
      <c r="B342" t="s">
        <v>288</v>
      </c>
      <c r="C342" t="s">
        <v>340</v>
      </c>
      <c r="D342" t="s">
        <v>7</v>
      </c>
      <c r="E342" s="4">
        <v>45353</v>
      </c>
      <c r="F342" s="4">
        <v>46081</v>
      </c>
      <c r="G342">
        <v>245559183.87</v>
      </c>
    </row>
    <row r="343" spans="1:7" x14ac:dyDescent="0.45">
      <c r="A343" t="s">
        <v>418</v>
      </c>
      <c r="B343" t="s">
        <v>288</v>
      </c>
      <c r="C343" t="s">
        <v>292</v>
      </c>
      <c r="D343" t="s">
        <v>7</v>
      </c>
      <c r="E343" s="4">
        <v>45353</v>
      </c>
      <c r="F343" s="4">
        <v>46081</v>
      </c>
      <c r="G343">
        <v>4486749.04</v>
      </c>
    </row>
    <row r="344" spans="1:7" x14ac:dyDescent="0.45">
      <c r="A344" t="s">
        <v>418</v>
      </c>
      <c r="B344" t="s">
        <v>288</v>
      </c>
      <c r="C344" t="s">
        <v>205</v>
      </c>
      <c r="D344" t="s">
        <v>7</v>
      </c>
      <c r="E344" s="4">
        <v>45353</v>
      </c>
      <c r="F344" s="4">
        <v>46081</v>
      </c>
      <c r="G344">
        <v>40118441.25</v>
      </c>
    </row>
    <row r="345" spans="1:7" x14ac:dyDescent="0.45">
      <c r="A345" t="s">
        <v>419</v>
      </c>
      <c r="B345" t="s">
        <v>291</v>
      </c>
      <c r="C345" t="s">
        <v>342</v>
      </c>
      <c r="D345" t="s">
        <v>7</v>
      </c>
      <c r="E345" s="4">
        <v>45616</v>
      </c>
      <c r="F345" s="4">
        <v>48162</v>
      </c>
      <c r="G345">
        <v>239928315.00999999</v>
      </c>
    </row>
    <row r="346" spans="1:7" x14ac:dyDescent="0.45">
      <c r="A346" t="s">
        <v>420</v>
      </c>
      <c r="B346" t="s">
        <v>239</v>
      </c>
      <c r="C346" t="s">
        <v>421</v>
      </c>
      <c r="D346" t="s">
        <v>7</v>
      </c>
      <c r="E346" s="4">
        <v>44127</v>
      </c>
      <c r="F346" s="4">
        <v>47766</v>
      </c>
      <c r="G346">
        <v>81249576.209999993</v>
      </c>
    </row>
    <row r="347" spans="1:7" x14ac:dyDescent="0.45">
      <c r="A347" t="s">
        <v>422</v>
      </c>
      <c r="B347" t="s">
        <v>222</v>
      </c>
      <c r="C347" t="s">
        <v>349</v>
      </c>
      <c r="D347" t="s">
        <v>7</v>
      </c>
      <c r="E347" s="4">
        <v>45610</v>
      </c>
      <c r="F347" s="4">
        <v>46676</v>
      </c>
      <c r="G347">
        <v>95605238.219999999</v>
      </c>
    </row>
    <row r="348" spans="1:7" x14ac:dyDescent="0.45">
      <c r="A348" t="s">
        <v>423</v>
      </c>
      <c r="B348" t="s">
        <v>317</v>
      </c>
      <c r="C348" t="s">
        <v>424</v>
      </c>
      <c r="D348" t="s">
        <v>7</v>
      </c>
      <c r="E348" s="4">
        <v>43871</v>
      </c>
      <c r="F348" s="4">
        <v>46402</v>
      </c>
      <c r="G348">
        <v>7937872.4800000004</v>
      </c>
    </row>
    <row r="349" spans="1:7" x14ac:dyDescent="0.45">
      <c r="A349" t="s">
        <v>425</v>
      </c>
      <c r="B349" t="s">
        <v>266</v>
      </c>
      <c r="C349" t="s">
        <v>426</v>
      </c>
      <c r="D349" t="s">
        <v>7</v>
      </c>
      <c r="E349" s="4">
        <v>45112</v>
      </c>
      <c r="F349" s="4">
        <v>45500</v>
      </c>
      <c r="G349">
        <v>82813934.769999996</v>
      </c>
    </row>
    <row r="350" spans="1:7" x14ac:dyDescent="0.45">
      <c r="A350" t="s">
        <v>427</v>
      </c>
      <c r="B350" t="s">
        <v>288</v>
      </c>
      <c r="C350" t="s">
        <v>251</v>
      </c>
      <c r="D350" t="s">
        <v>7</v>
      </c>
      <c r="E350" s="4">
        <v>44844</v>
      </c>
      <c r="F350" s="4">
        <v>46689</v>
      </c>
      <c r="G350">
        <v>31525164.75</v>
      </c>
    </row>
    <row r="351" spans="1:7" x14ac:dyDescent="0.45">
      <c r="A351" t="s">
        <v>428</v>
      </c>
      <c r="B351" t="s">
        <v>216</v>
      </c>
      <c r="C351" t="s">
        <v>286</v>
      </c>
      <c r="D351" t="s">
        <v>7</v>
      </c>
      <c r="E351" s="4">
        <v>44519</v>
      </c>
      <c r="F351" s="4">
        <v>49993</v>
      </c>
      <c r="G351">
        <v>310983915.38</v>
      </c>
    </row>
    <row r="352" spans="1:7" x14ac:dyDescent="0.45">
      <c r="A352" t="s">
        <v>429</v>
      </c>
      <c r="B352" t="s">
        <v>239</v>
      </c>
      <c r="C352" t="s">
        <v>424</v>
      </c>
      <c r="D352" t="s">
        <v>7</v>
      </c>
      <c r="E352" s="4">
        <v>44217</v>
      </c>
      <c r="F352" s="4">
        <v>45305</v>
      </c>
      <c r="G352">
        <v>9408641.9900000002</v>
      </c>
    </row>
    <row r="353" spans="1:7" x14ac:dyDescent="0.45">
      <c r="A353" t="s">
        <v>430</v>
      </c>
      <c r="B353" t="s">
        <v>317</v>
      </c>
      <c r="C353" t="s">
        <v>431</v>
      </c>
      <c r="D353" t="s">
        <v>7</v>
      </c>
      <c r="E353" s="4">
        <v>44713</v>
      </c>
      <c r="F353" s="4">
        <v>45438</v>
      </c>
      <c r="G353">
        <v>4365653.3899999997</v>
      </c>
    </row>
    <row r="354" spans="1:7" x14ac:dyDescent="0.45">
      <c r="A354" t="s">
        <v>430</v>
      </c>
      <c r="B354" t="s">
        <v>317</v>
      </c>
      <c r="C354" t="s">
        <v>6</v>
      </c>
      <c r="D354" t="s">
        <v>7</v>
      </c>
      <c r="E354" s="4">
        <v>44713</v>
      </c>
      <c r="F354" s="4">
        <v>45438</v>
      </c>
      <c r="G354">
        <v>3868163.88</v>
      </c>
    </row>
    <row r="355" spans="1:7" x14ac:dyDescent="0.45">
      <c r="A355" t="s">
        <v>430</v>
      </c>
      <c r="B355" t="s">
        <v>317</v>
      </c>
      <c r="C355" t="s">
        <v>413</v>
      </c>
      <c r="D355" t="s">
        <v>7</v>
      </c>
      <c r="E355" s="4">
        <v>44713</v>
      </c>
      <c r="F355" s="4">
        <v>45438</v>
      </c>
      <c r="G355">
        <v>13447287.199999999</v>
      </c>
    </row>
    <row r="356" spans="1:7" x14ac:dyDescent="0.45">
      <c r="A356" t="s">
        <v>430</v>
      </c>
      <c r="B356" t="s">
        <v>317</v>
      </c>
      <c r="C356" t="s">
        <v>349</v>
      </c>
      <c r="D356" t="s">
        <v>7</v>
      </c>
      <c r="E356" s="4">
        <v>44713</v>
      </c>
      <c r="F356" s="4">
        <v>45438</v>
      </c>
      <c r="G356">
        <v>78295703.930000007</v>
      </c>
    </row>
    <row r="357" spans="1:7" x14ac:dyDescent="0.45">
      <c r="A357" t="s">
        <v>430</v>
      </c>
      <c r="B357" t="s">
        <v>317</v>
      </c>
      <c r="C357" t="s">
        <v>208</v>
      </c>
      <c r="D357" t="s">
        <v>7</v>
      </c>
      <c r="E357" s="4">
        <v>44713</v>
      </c>
      <c r="F357" s="4">
        <v>45438</v>
      </c>
      <c r="G357">
        <v>9152717.4000000004</v>
      </c>
    </row>
    <row r="358" spans="1:7" x14ac:dyDescent="0.45">
      <c r="A358" t="s">
        <v>432</v>
      </c>
      <c r="B358" t="s">
        <v>322</v>
      </c>
      <c r="C358" t="s">
        <v>227</v>
      </c>
      <c r="D358" t="s">
        <v>7</v>
      </c>
      <c r="E358" s="4">
        <v>43593</v>
      </c>
      <c r="F358" s="4">
        <v>44296</v>
      </c>
      <c r="G358">
        <v>4778429.8899999997</v>
      </c>
    </row>
    <row r="359" spans="1:7" x14ac:dyDescent="0.45">
      <c r="A359" t="s">
        <v>433</v>
      </c>
      <c r="B359" t="s">
        <v>434</v>
      </c>
      <c r="C359" t="s">
        <v>435</v>
      </c>
      <c r="D359" t="s">
        <v>7</v>
      </c>
      <c r="E359" s="4">
        <v>45554</v>
      </c>
      <c r="F359" s="4">
        <v>46263</v>
      </c>
      <c r="G359">
        <v>65332862.450000003</v>
      </c>
    </row>
    <row r="360" spans="1:7" x14ac:dyDescent="0.45">
      <c r="A360" t="s">
        <v>436</v>
      </c>
      <c r="B360" t="s">
        <v>317</v>
      </c>
      <c r="C360" t="s">
        <v>292</v>
      </c>
      <c r="D360" t="s">
        <v>7</v>
      </c>
      <c r="E360" s="4">
        <v>45080</v>
      </c>
      <c r="F360" s="4">
        <v>48734</v>
      </c>
      <c r="G360">
        <v>108133722.52</v>
      </c>
    </row>
    <row r="361" spans="1:7" x14ac:dyDescent="0.45">
      <c r="A361" t="s">
        <v>437</v>
      </c>
      <c r="B361" t="s">
        <v>216</v>
      </c>
      <c r="C361" t="s">
        <v>387</v>
      </c>
      <c r="D361" t="s">
        <v>7</v>
      </c>
      <c r="E361" s="4">
        <v>44310</v>
      </c>
      <c r="F361" s="4">
        <v>46111</v>
      </c>
      <c r="G361">
        <v>6237129.8899999997</v>
      </c>
    </row>
    <row r="362" spans="1:7" x14ac:dyDescent="0.45">
      <c r="A362" t="s">
        <v>437</v>
      </c>
      <c r="B362" t="s">
        <v>216</v>
      </c>
      <c r="C362" t="s">
        <v>342</v>
      </c>
      <c r="D362" t="s">
        <v>7</v>
      </c>
      <c r="E362" s="4">
        <v>44310</v>
      </c>
      <c r="F362" s="4">
        <v>46111</v>
      </c>
      <c r="G362">
        <v>67851605.459999993</v>
      </c>
    </row>
    <row r="363" spans="1:7" x14ac:dyDescent="0.45">
      <c r="A363" t="s">
        <v>437</v>
      </c>
      <c r="B363" t="s">
        <v>216</v>
      </c>
      <c r="C363" t="s">
        <v>435</v>
      </c>
      <c r="D363" t="s">
        <v>7</v>
      </c>
      <c r="E363" s="4">
        <v>44310</v>
      </c>
      <c r="F363" s="4">
        <v>46111</v>
      </c>
      <c r="G363">
        <v>9827372.6699999999</v>
      </c>
    </row>
    <row r="364" spans="1:7" x14ac:dyDescent="0.45">
      <c r="A364" t="s">
        <v>437</v>
      </c>
      <c r="B364" t="s">
        <v>216</v>
      </c>
      <c r="C364" t="s">
        <v>438</v>
      </c>
      <c r="D364" t="s">
        <v>7</v>
      </c>
      <c r="E364" s="4">
        <v>44310</v>
      </c>
      <c r="F364" s="4">
        <v>46111</v>
      </c>
      <c r="G364">
        <v>7444405.5199999996</v>
      </c>
    </row>
    <row r="365" spans="1:7" x14ac:dyDescent="0.45">
      <c r="A365" t="s">
        <v>437</v>
      </c>
      <c r="B365" t="s">
        <v>216</v>
      </c>
      <c r="C365" t="s">
        <v>439</v>
      </c>
      <c r="D365" t="s">
        <v>7</v>
      </c>
      <c r="E365" s="4">
        <v>44310</v>
      </c>
      <c r="F365" s="4">
        <v>46111</v>
      </c>
      <c r="G365">
        <v>8119982.9199999999</v>
      </c>
    </row>
    <row r="366" spans="1:7" x14ac:dyDescent="0.45">
      <c r="A366" t="s">
        <v>440</v>
      </c>
      <c r="B366" t="s">
        <v>245</v>
      </c>
      <c r="C366" t="s">
        <v>246</v>
      </c>
      <c r="D366" t="s">
        <v>7</v>
      </c>
      <c r="E366" s="4">
        <v>44221</v>
      </c>
      <c r="F366" s="4">
        <v>45304</v>
      </c>
      <c r="G366">
        <v>8759246.7699999996</v>
      </c>
    </row>
    <row r="367" spans="1:7" x14ac:dyDescent="0.45">
      <c r="A367" t="s">
        <v>441</v>
      </c>
      <c r="B367" t="s">
        <v>442</v>
      </c>
      <c r="C367" t="s">
        <v>413</v>
      </c>
      <c r="D367" t="s">
        <v>7</v>
      </c>
      <c r="E367" s="4">
        <v>44910</v>
      </c>
      <c r="F367" s="4">
        <v>47459</v>
      </c>
      <c r="G367">
        <v>299009357</v>
      </c>
    </row>
    <row r="368" spans="1:7" x14ac:dyDescent="0.45">
      <c r="A368" t="s">
        <v>443</v>
      </c>
      <c r="B368" t="s">
        <v>285</v>
      </c>
      <c r="C368" t="s">
        <v>292</v>
      </c>
      <c r="D368" t="s">
        <v>7</v>
      </c>
      <c r="E368" s="4">
        <v>45476</v>
      </c>
      <c r="F368" s="4">
        <v>46228</v>
      </c>
      <c r="G368">
        <v>38909028.539999999</v>
      </c>
    </row>
    <row r="369" spans="1:7" x14ac:dyDescent="0.45">
      <c r="A369" t="s">
        <v>444</v>
      </c>
      <c r="B369" t="s">
        <v>319</v>
      </c>
      <c r="C369" t="s">
        <v>267</v>
      </c>
      <c r="D369" t="s">
        <v>7</v>
      </c>
      <c r="E369" s="4">
        <v>44180</v>
      </c>
      <c r="F369" s="4">
        <v>44882</v>
      </c>
      <c r="G369">
        <v>8830334.5800000001</v>
      </c>
    </row>
    <row r="370" spans="1:7" x14ac:dyDescent="0.45">
      <c r="A370" t="s">
        <v>445</v>
      </c>
      <c r="B370" t="s">
        <v>446</v>
      </c>
      <c r="C370" t="s">
        <v>257</v>
      </c>
      <c r="D370" t="s">
        <v>7</v>
      </c>
      <c r="E370" s="4">
        <v>43790</v>
      </c>
      <c r="F370" s="4">
        <v>44522</v>
      </c>
      <c r="G370">
        <v>95751045.670000002</v>
      </c>
    </row>
    <row r="371" spans="1:7" x14ac:dyDescent="0.45">
      <c r="A371" t="s">
        <v>447</v>
      </c>
      <c r="B371" t="s">
        <v>222</v>
      </c>
      <c r="C371" t="s">
        <v>243</v>
      </c>
      <c r="D371" t="s">
        <v>7</v>
      </c>
      <c r="E371" s="4">
        <v>43869</v>
      </c>
      <c r="F371" s="4">
        <v>45687</v>
      </c>
      <c r="G371">
        <v>61052017.759999998</v>
      </c>
    </row>
    <row r="372" spans="1:7" x14ac:dyDescent="0.45">
      <c r="A372" t="s">
        <v>448</v>
      </c>
      <c r="B372" t="s">
        <v>219</v>
      </c>
      <c r="C372" t="s">
        <v>387</v>
      </c>
      <c r="D372" t="s">
        <v>7</v>
      </c>
      <c r="E372" s="4">
        <v>44611</v>
      </c>
      <c r="F372" s="4">
        <v>44969</v>
      </c>
      <c r="G372">
        <v>3829468.97</v>
      </c>
    </row>
    <row r="373" spans="1:7" x14ac:dyDescent="0.45">
      <c r="A373" t="s">
        <v>449</v>
      </c>
      <c r="B373" t="s">
        <v>288</v>
      </c>
      <c r="C373" t="s">
        <v>450</v>
      </c>
      <c r="D373" t="s">
        <v>7</v>
      </c>
      <c r="E373" s="4">
        <v>44966</v>
      </c>
      <c r="F373" s="4">
        <v>46806</v>
      </c>
      <c r="G373">
        <v>377592256.42000002</v>
      </c>
    </row>
    <row r="374" spans="1:7" x14ac:dyDescent="0.45">
      <c r="A374" t="s">
        <v>451</v>
      </c>
      <c r="B374" t="s">
        <v>291</v>
      </c>
      <c r="C374" t="s">
        <v>452</v>
      </c>
      <c r="D374" t="s">
        <v>7</v>
      </c>
      <c r="E374" s="4">
        <v>43683</v>
      </c>
      <c r="F374" s="4">
        <v>46236</v>
      </c>
      <c r="G374">
        <v>97080511.269999996</v>
      </c>
    </row>
    <row r="375" spans="1:7" x14ac:dyDescent="0.45">
      <c r="A375" t="s">
        <v>453</v>
      </c>
      <c r="B375" t="s">
        <v>230</v>
      </c>
      <c r="C375" t="s">
        <v>454</v>
      </c>
      <c r="D375" t="s">
        <v>7</v>
      </c>
      <c r="E375" s="4">
        <v>44278</v>
      </c>
      <c r="F375" s="4">
        <v>46117</v>
      </c>
      <c r="G375">
        <v>189696646.09999999</v>
      </c>
    </row>
    <row r="376" spans="1:7" x14ac:dyDescent="0.45">
      <c r="A376" t="s">
        <v>455</v>
      </c>
      <c r="B376" t="s">
        <v>298</v>
      </c>
      <c r="C376" t="s">
        <v>251</v>
      </c>
      <c r="D376" t="s">
        <v>7</v>
      </c>
      <c r="E376" s="4">
        <v>44573</v>
      </c>
      <c r="F376" s="4">
        <v>45661</v>
      </c>
      <c r="G376">
        <v>8232955.54</v>
      </c>
    </row>
    <row r="377" spans="1:7" x14ac:dyDescent="0.45">
      <c r="A377" t="s">
        <v>456</v>
      </c>
      <c r="B377" t="s">
        <v>294</v>
      </c>
      <c r="C377" t="s">
        <v>10</v>
      </c>
      <c r="D377" t="s">
        <v>7</v>
      </c>
      <c r="E377" s="4">
        <v>45132</v>
      </c>
      <c r="F377" s="4">
        <v>45868</v>
      </c>
      <c r="G377">
        <v>38532490.340000004</v>
      </c>
    </row>
    <row r="378" spans="1:7" x14ac:dyDescent="0.45">
      <c r="A378" t="s">
        <v>457</v>
      </c>
      <c r="B378" t="s">
        <v>458</v>
      </c>
      <c r="C378" t="s">
        <v>459</v>
      </c>
      <c r="D378" t="s">
        <v>7</v>
      </c>
      <c r="E378" s="4">
        <v>45249</v>
      </c>
      <c r="F378" s="4">
        <v>45592</v>
      </c>
      <c r="G378">
        <v>88139046.469999999</v>
      </c>
    </row>
    <row r="379" spans="1:7" x14ac:dyDescent="0.45">
      <c r="A379" t="s">
        <v>460</v>
      </c>
      <c r="B379" t="s">
        <v>381</v>
      </c>
      <c r="C379" t="s">
        <v>461</v>
      </c>
      <c r="D379" t="s">
        <v>7</v>
      </c>
      <c r="E379" s="4">
        <v>44538</v>
      </c>
      <c r="F379" s="4">
        <v>45298</v>
      </c>
      <c r="G379">
        <v>86134033.549999997</v>
      </c>
    </row>
    <row r="380" spans="1:7" x14ac:dyDescent="0.45">
      <c r="A380" t="s">
        <v>462</v>
      </c>
      <c r="B380" t="s">
        <v>213</v>
      </c>
      <c r="C380" t="s">
        <v>459</v>
      </c>
      <c r="D380" t="s">
        <v>7</v>
      </c>
      <c r="E380" s="4">
        <v>45432</v>
      </c>
      <c r="F380" s="4">
        <v>46529</v>
      </c>
      <c r="G380">
        <v>94744628.909999996</v>
      </c>
    </row>
    <row r="381" spans="1:7" x14ac:dyDescent="0.45">
      <c r="A381" t="s">
        <v>463</v>
      </c>
      <c r="B381" t="s">
        <v>378</v>
      </c>
      <c r="C381" t="s">
        <v>416</v>
      </c>
      <c r="D381" t="s">
        <v>7</v>
      </c>
      <c r="E381" s="4">
        <v>44953</v>
      </c>
      <c r="F381" s="4">
        <v>47483</v>
      </c>
      <c r="G381">
        <v>9536921.6899999995</v>
      </c>
    </row>
    <row r="382" spans="1:7" x14ac:dyDescent="0.45">
      <c r="A382" t="s">
        <v>464</v>
      </c>
      <c r="B382" t="s">
        <v>465</v>
      </c>
      <c r="C382" t="s">
        <v>405</v>
      </c>
      <c r="D382" t="s">
        <v>7</v>
      </c>
      <c r="E382" s="4">
        <v>44883</v>
      </c>
      <c r="F382" s="4">
        <v>45602</v>
      </c>
      <c r="G382">
        <v>82661438.299999997</v>
      </c>
    </row>
    <row r="383" spans="1:7" x14ac:dyDescent="0.45">
      <c r="A383" t="s">
        <v>466</v>
      </c>
      <c r="B383" t="s">
        <v>353</v>
      </c>
      <c r="C383" t="s">
        <v>226</v>
      </c>
      <c r="D383" t="s">
        <v>7</v>
      </c>
      <c r="E383" s="4">
        <v>44758</v>
      </c>
      <c r="F383" s="4">
        <v>45844</v>
      </c>
      <c r="G383">
        <v>227726557.06</v>
      </c>
    </row>
    <row r="384" spans="1:7" x14ac:dyDescent="0.45">
      <c r="A384" t="s">
        <v>467</v>
      </c>
      <c r="B384" t="s">
        <v>322</v>
      </c>
      <c r="C384" t="s">
        <v>296</v>
      </c>
      <c r="D384" t="s">
        <v>7</v>
      </c>
      <c r="E384" s="4">
        <v>43999</v>
      </c>
      <c r="F384" s="4">
        <v>45084</v>
      </c>
      <c r="G384">
        <v>5198253.0999999996</v>
      </c>
    </row>
    <row r="385" spans="1:7" x14ac:dyDescent="0.45">
      <c r="A385" t="s">
        <v>468</v>
      </c>
      <c r="B385" t="s">
        <v>410</v>
      </c>
      <c r="C385" t="s">
        <v>305</v>
      </c>
      <c r="D385" t="s">
        <v>7</v>
      </c>
      <c r="E385" s="4">
        <v>45115</v>
      </c>
      <c r="F385" s="4">
        <v>48792</v>
      </c>
      <c r="G385">
        <v>8321300.6200000001</v>
      </c>
    </row>
    <row r="386" spans="1:7" x14ac:dyDescent="0.45">
      <c r="A386" t="s">
        <v>469</v>
      </c>
      <c r="B386" t="s">
        <v>219</v>
      </c>
      <c r="C386" t="s">
        <v>323</v>
      </c>
      <c r="D386" t="s">
        <v>7</v>
      </c>
      <c r="E386" s="4">
        <v>44697</v>
      </c>
      <c r="F386" s="4">
        <v>45092</v>
      </c>
      <c r="G386">
        <v>5549000.1699999999</v>
      </c>
    </row>
    <row r="387" spans="1:7" x14ac:dyDescent="0.45">
      <c r="A387" t="s">
        <v>470</v>
      </c>
      <c r="B387" t="s">
        <v>239</v>
      </c>
      <c r="C387" t="s">
        <v>338</v>
      </c>
      <c r="D387" t="s">
        <v>7</v>
      </c>
      <c r="E387" s="4">
        <v>44714</v>
      </c>
      <c r="F387" s="4">
        <v>45450</v>
      </c>
      <c r="G387">
        <v>59790063.399999999</v>
      </c>
    </row>
    <row r="388" spans="1:7" x14ac:dyDescent="0.45">
      <c r="A388" t="s">
        <v>470</v>
      </c>
      <c r="B388" t="s">
        <v>239</v>
      </c>
      <c r="C388" t="s">
        <v>345</v>
      </c>
      <c r="D388" t="s">
        <v>7</v>
      </c>
      <c r="E388" s="4">
        <v>44714</v>
      </c>
      <c r="F388" s="4">
        <v>45450</v>
      </c>
      <c r="G388">
        <v>35174860.990000002</v>
      </c>
    </row>
    <row r="389" spans="1:7" x14ac:dyDescent="0.45">
      <c r="A389" t="s">
        <v>470</v>
      </c>
      <c r="B389" t="s">
        <v>239</v>
      </c>
      <c r="C389" t="s">
        <v>471</v>
      </c>
      <c r="D389" t="s">
        <v>7</v>
      </c>
      <c r="E389" s="4">
        <v>44714</v>
      </c>
      <c r="F389" s="4">
        <v>45450</v>
      </c>
      <c r="G389">
        <v>97757453.390000001</v>
      </c>
    </row>
    <row r="390" spans="1:7" x14ac:dyDescent="0.45">
      <c r="A390" t="s">
        <v>470</v>
      </c>
      <c r="B390" t="s">
        <v>239</v>
      </c>
      <c r="C390" t="s">
        <v>472</v>
      </c>
      <c r="D390" t="s">
        <v>7</v>
      </c>
      <c r="E390" s="4">
        <v>44714</v>
      </c>
      <c r="F390" s="4">
        <v>45450</v>
      </c>
      <c r="G390">
        <v>4051767.7</v>
      </c>
    </row>
    <row r="391" spans="1:7" x14ac:dyDescent="0.45">
      <c r="A391" t="s">
        <v>470</v>
      </c>
      <c r="B391" t="s">
        <v>239</v>
      </c>
      <c r="C391" t="s">
        <v>289</v>
      </c>
      <c r="D391" t="s">
        <v>7</v>
      </c>
      <c r="E391" s="4">
        <v>44714</v>
      </c>
      <c r="F391" s="4">
        <v>45450</v>
      </c>
      <c r="G391">
        <v>5582102.6500000004</v>
      </c>
    </row>
    <row r="392" spans="1:7" x14ac:dyDescent="0.45">
      <c r="A392" t="s">
        <v>470</v>
      </c>
      <c r="B392" t="s">
        <v>239</v>
      </c>
      <c r="C392" t="s">
        <v>452</v>
      </c>
      <c r="D392" t="s">
        <v>7</v>
      </c>
      <c r="E392" s="4">
        <v>44714</v>
      </c>
      <c r="F392" s="4">
        <v>45450</v>
      </c>
      <c r="G392">
        <v>52636973.539999999</v>
      </c>
    </row>
    <row r="393" spans="1:7" x14ac:dyDescent="0.45">
      <c r="A393" t="s">
        <v>470</v>
      </c>
      <c r="B393" t="s">
        <v>239</v>
      </c>
      <c r="C393" t="s">
        <v>223</v>
      </c>
      <c r="D393" t="s">
        <v>7</v>
      </c>
      <c r="E393" s="4">
        <v>44714</v>
      </c>
      <c r="F393" s="4">
        <v>45450</v>
      </c>
      <c r="G393">
        <v>5639551.5899999999</v>
      </c>
    </row>
    <row r="394" spans="1:7" x14ac:dyDescent="0.45">
      <c r="A394" t="s">
        <v>470</v>
      </c>
      <c r="B394" t="s">
        <v>239</v>
      </c>
      <c r="C394" t="s">
        <v>270</v>
      </c>
      <c r="D394" t="s">
        <v>7</v>
      </c>
      <c r="E394" s="4">
        <v>44714</v>
      </c>
      <c r="F394" s="4">
        <v>45450</v>
      </c>
      <c r="G394">
        <v>9915541.6400000006</v>
      </c>
    </row>
    <row r="395" spans="1:7" x14ac:dyDescent="0.45">
      <c r="A395" t="s">
        <v>473</v>
      </c>
      <c r="B395" t="s">
        <v>222</v>
      </c>
      <c r="C395" t="s">
        <v>327</v>
      </c>
      <c r="D395" t="s">
        <v>7</v>
      </c>
      <c r="E395" s="4">
        <v>45575</v>
      </c>
      <c r="F395" s="4">
        <v>46641</v>
      </c>
      <c r="G395">
        <v>3981156.34</v>
      </c>
    </row>
    <row r="396" spans="1:7" x14ac:dyDescent="0.45">
      <c r="A396" t="s">
        <v>474</v>
      </c>
      <c r="B396" t="s">
        <v>216</v>
      </c>
      <c r="C396" t="s">
        <v>202</v>
      </c>
      <c r="D396" t="s">
        <v>7</v>
      </c>
      <c r="E396" s="4">
        <v>45147</v>
      </c>
      <c r="F396" s="4">
        <v>48817</v>
      </c>
      <c r="G396">
        <v>30478890.280000001</v>
      </c>
    </row>
    <row r="397" spans="1:7" x14ac:dyDescent="0.45">
      <c r="A397" t="s">
        <v>475</v>
      </c>
      <c r="B397" t="s">
        <v>266</v>
      </c>
      <c r="C397" t="s">
        <v>313</v>
      </c>
      <c r="D397" t="s">
        <v>7</v>
      </c>
      <c r="E397" s="4">
        <v>44143</v>
      </c>
      <c r="F397" s="4">
        <v>44538</v>
      </c>
      <c r="G397">
        <v>1989059.69</v>
      </c>
    </row>
    <row r="398" spans="1:7" x14ac:dyDescent="0.45">
      <c r="A398" t="s">
        <v>476</v>
      </c>
      <c r="B398" t="s">
        <v>319</v>
      </c>
      <c r="C398" t="s">
        <v>273</v>
      </c>
      <c r="D398" t="s">
        <v>7</v>
      </c>
      <c r="E398" s="4">
        <v>45215</v>
      </c>
      <c r="F398" s="4">
        <v>47787</v>
      </c>
      <c r="G398">
        <v>1560531.57</v>
      </c>
    </row>
    <row r="399" spans="1:7" x14ac:dyDescent="0.45">
      <c r="A399" t="s">
        <v>477</v>
      </c>
      <c r="B399" t="s">
        <v>234</v>
      </c>
      <c r="C399" t="s">
        <v>361</v>
      </c>
      <c r="D399" t="s">
        <v>7</v>
      </c>
      <c r="E399" s="4">
        <v>44270</v>
      </c>
      <c r="F399" s="4">
        <v>47911</v>
      </c>
      <c r="G399">
        <v>79479080.569999993</v>
      </c>
    </row>
    <row r="400" spans="1:7" x14ac:dyDescent="0.45">
      <c r="A400" t="s">
        <v>478</v>
      </c>
      <c r="B400" t="s">
        <v>282</v>
      </c>
      <c r="C400" t="s">
        <v>479</v>
      </c>
      <c r="D400" t="s">
        <v>7</v>
      </c>
      <c r="E400" s="4">
        <v>43930</v>
      </c>
      <c r="F400" s="4">
        <v>45009</v>
      </c>
      <c r="G400">
        <v>73441084.319999993</v>
      </c>
    </row>
    <row r="401" spans="1:7" x14ac:dyDescent="0.45">
      <c r="A401" t="s">
        <v>480</v>
      </c>
      <c r="B401" t="s">
        <v>219</v>
      </c>
      <c r="C401" t="s">
        <v>13</v>
      </c>
      <c r="D401" t="s">
        <v>7</v>
      </c>
      <c r="E401" s="4">
        <v>44246</v>
      </c>
      <c r="F401" s="4">
        <v>46065</v>
      </c>
      <c r="G401">
        <v>8365397.1399999997</v>
      </c>
    </row>
    <row r="402" spans="1:7" x14ac:dyDescent="0.45">
      <c r="A402" t="s">
        <v>481</v>
      </c>
      <c r="B402" t="s">
        <v>304</v>
      </c>
      <c r="C402" t="s">
        <v>235</v>
      </c>
      <c r="D402" t="s">
        <v>7</v>
      </c>
      <c r="E402" s="4">
        <v>44429</v>
      </c>
      <c r="F402" s="4">
        <v>45159</v>
      </c>
      <c r="G402">
        <v>58472013.130000003</v>
      </c>
    </row>
    <row r="403" spans="1:7" x14ac:dyDescent="0.45">
      <c r="A403" t="s">
        <v>482</v>
      </c>
      <c r="B403" t="s">
        <v>332</v>
      </c>
      <c r="C403" t="s">
        <v>363</v>
      </c>
      <c r="D403" t="s">
        <v>7</v>
      </c>
      <c r="E403" s="4">
        <v>44546</v>
      </c>
      <c r="F403" s="4">
        <v>44930</v>
      </c>
      <c r="G403">
        <v>59531730.920000002</v>
      </c>
    </row>
    <row r="404" spans="1:7" x14ac:dyDescent="0.45">
      <c r="A404" t="s">
        <v>482</v>
      </c>
      <c r="B404" t="s">
        <v>332</v>
      </c>
      <c r="C404" t="s">
        <v>412</v>
      </c>
      <c r="D404" t="s">
        <v>7</v>
      </c>
      <c r="E404" s="4">
        <v>44546</v>
      </c>
      <c r="F404" s="4">
        <v>44930</v>
      </c>
      <c r="G404">
        <v>9415288.8900000006</v>
      </c>
    </row>
    <row r="405" spans="1:7" x14ac:dyDescent="0.45">
      <c r="A405" t="s">
        <v>482</v>
      </c>
      <c r="B405" t="s">
        <v>332</v>
      </c>
      <c r="C405" t="s">
        <v>258</v>
      </c>
      <c r="D405" t="s">
        <v>7</v>
      </c>
      <c r="E405" s="4">
        <v>44546</v>
      </c>
      <c r="F405" s="4">
        <v>44930</v>
      </c>
      <c r="G405">
        <v>358359167.16000003</v>
      </c>
    </row>
    <row r="406" spans="1:7" x14ac:dyDescent="0.45">
      <c r="A406" t="s">
        <v>482</v>
      </c>
      <c r="B406" t="s">
        <v>332</v>
      </c>
      <c r="C406" t="s">
        <v>355</v>
      </c>
      <c r="D406" t="s">
        <v>7</v>
      </c>
      <c r="E406" s="4">
        <v>44546</v>
      </c>
      <c r="F406" s="4">
        <v>44930</v>
      </c>
      <c r="G406">
        <v>61672001.789999999</v>
      </c>
    </row>
    <row r="407" spans="1:7" x14ac:dyDescent="0.45">
      <c r="A407" t="s">
        <v>482</v>
      </c>
      <c r="B407" t="s">
        <v>332</v>
      </c>
      <c r="C407" t="s">
        <v>483</v>
      </c>
      <c r="D407" t="s">
        <v>7</v>
      </c>
      <c r="E407" s="4">
        <v>44546</v>
      </c>
      <c r="F407" s="4">
        <v>44930</v>
      </c>
      <c r="G407">
        <v>170025910.19</v>
      </c>
    </row>
    <row r="408" spans="1:7" x14ac:dyDescent="0.45">
      <c r="A408" t="s">
        <v>482</v>
      </c>
      <c r="B408" t="s">
        <v>332</v>
      </c>
      <c r="C408" t="s">
        <v>341</v>
      </c>
      <c r="D408" t="s">
        <v>7</v>
      </c>
      <c r="E408" s="4">
        <v>44546</v>
      </c>
      <c r="F408" s="4">
        <v>44930</v>
      </c>
      <c r="G408">
        <v>2582098.37</v>
      </c>
    </row>
    <row r="409" spans="1:7" x14ac:dyDescent="0.45">
      <c r="A409" t="s">
        <v>482</v>
      </c>
      <c r="B409" t="s">
        <v>332</v>
      </c>
      <c r="C409" t="s">
        <v>248</v>
      </c>
      <c r="D409" t="s">
        <v>7</v>
      </c>
      <c r="E409" s="4">
        <v>44546</v>
      </c>
      <c r="F409" s="4">
        <v>44930</v>
      </c>
      <c r="G409">
        <v>484852552.02999997</v>
      </c>
    </row>
    <row r="410" spans="1:7" x14ac:dyDescent="0.45">
      <c r="A410" t="s">
        <v>482</v>
      </c>
      <c r="B410" t="s">
        <v>332</v>
      </c>
      <c r="C410" t="s">
        <v>273</v>
      </c>
      <c r="D410" t="s">
        <v>7</v>
      </c>
      <c r="E410" s="4">
        <v>44546</v>
      </c>
      <c r="F410" s="4">
        <v>44930</v>
      </c>
      <c r="G410">
        <v>8890688.5099999998</v>
      </c>
    </row>
    <row r="411" spans="1:7" x14ac:dyDescent="0.45">
      <c r="A411" t="s">
        <v>484</v>
      </c>
      <c r="B411" t="s">
        <v>332</v>
      </c>
      <c r="C411" t="s">
        <v>264</v>
      </c>
      <c r="D411" t="s">
        <v>7</v>
      </c>
      <c r="E411" s="4">
        <v>44883</v>
      </c>
      <c r="F411" s="4">
        <v>46004</v>
      </c>
      <c r="G411">
        <v>8659537.6500000004</v>
      </c>
    </row>
    <row r="412" spans="1:7" x14ac:dyDescent="0.45">
      <c r="A412" t="s">
        <v>485</v>
      </c>
      <c r="B412" t="s">
        <v>442</v>
      </c>
      <c r="C412" t="s">
        <v>275</v>
      </c>
      <c r="D412" t="s">
        <v>7</v>
      </c>
      <c r="E412" s="4">
        <v>45435</v>
      </c>
      <c r="F412" s="4">
        <v>45817</v>
      </c>
      <c r="G412">
        <v>8116908.9800000004</v>
      </c>
    </row>
    <row r="413" spans="1:7" x14ac:dyDescent="0.45">
      <c r="A413" t="s">
        <v>486</v>
      </c>
      <c r="B413" t="s">
        <v>201</v>
      </c>
      <c r="C413" t="s">
        <v>309</v>
      </c>
      <c r="D413" t="s">
        <v>7</v>
      </c>
      <c r="E413" s="4">
        <v>44815</v>
      </c>
      <c r="F413" s="4">
        <v>45192</v>
      </c>
      <c r="G413">
        <v>2663030.81</v>
      </c>
    </row>
    <row r="414" spans="1:7" x14ac:dyDescent="0.45">
      <c r="A414" t="s">
        <v>487</v>
      </c>
      <c r="B414" t="s">
        <v>404</v>
      </c>
      <c r="C414" t="s">
        <v>251</v>
      </c>
      <c r="D414" t="s">
        <v>7</v>
      </c>
      <c r="E414" s="4">
        <v>44692</v>
      </c>
      <c r="F414" s="4">
        <v>45438</v>
      </c>
      <c r="G414">
        <v>1102921.6100000001</v>
      </c>
    </row>
    <row r="415" spans="1:7" x14ac:dyDescent="0.45">
      <c r="A415" t="s">
        <v>488</v>
      </c>
      <c r="B415" t="s">
        <v>465</v>
      </c>
      <c r="C415" t="s">
        <v>309</v>
      </c>
      <c r="D415" t="s">
        <v>7</v>
      </c>
      <c r="E415" s="4">
        <v>44477</v>
      </c>
      <c r="F415" s="4">
        <v>45185</v>
      </c>
      <c r="G415">
        <v>77296135.340000004</v>
      </c>
    </row>
    <row r="416" spans="1:7" x14ac:dyDescent="0.45">
      <c r="A416" t="s">
        <v>488</v>
      </c>
      <c r="B416" t="s">
        <v>465</v>
      </c>
      <c r="C416" t="s">
        <v>259</v>
      </c>
      <c r="D416" t="s">
        <v>7</v>
      </c>
      <c r="E416" s="4">
        <v>44477</v>
      </c>
      <c r="F416" s="4">
        <v>45185</v>
      </c>
      <c r="G416">
        <v>52374526.920000002</v>
      </c>
    </row>
    <row r="417" spans="1:7" x14ac:dyDescent="0.45">
      <c r="A417" t="s">
        <v>488</v>
      </c>
      <c r="B417" t="s">
        <v>465</v>
      </c>
      <c r="C417" t="s">
        <v>415</v>
      </c>
      <c r="D417" t="s">
        <v>7</v>
      </c>
      <c r="E417" s="4">
        <v>44477</v>
      </c>
      <c r="F417" s="4">
        <v>45185</v>
      </c>
      <c r="G417">
        <v>401895819.88999999</v>
      </c>
    </row>
    <row r="418" spans="1:7" x14ac:dyDescent="0.45">
      <c r="A418" t="s">
        <v>488</v>
      </c>
      <c r="B418" t="s">
        <v>465</v>
      </c>
      <c r="C418" t="s">
        <v>240</v>
      </c>
      <c r="D418" t="s">
        <v>7</v>
      </c>
      <c r="E418" s="4">
        <v>44477</v>
      </c>
      <c r="F418" s="4">
        <v>45185</v>
      </c>
      <c r="G418">
        <v>1736832.76</v>
      </c>
    </row>
    <row r="419" spans="1:7" x14ac:dyDescent="0.45">
      <c r="A419" t="s">
        <v>488</v>
      </c>
      <c r="B419" t="s">
        <v>465</v>
      </c>
      <c r="C419" t="s">
        <v>374</v>
      </c>
      <c r="D419" t="s">
        <v>7</v>
      </c>
      <c r="E419" s="4">
        <v>44477</v>
      </c>
      <c r="F419" s="4">
        <v>45185</v>
      </c>
      <c r="G419">
        <v>15558224.279999999</v>
      </c>
    </row>
    <row r="420" spans="1:7" x14ac:dyDescent="0.45">
      <c r="A420" t="s">
        <v>489</v>
      </c>
      <c r="B420" t="s">
        <v>335</v>
      </c>
      <c r="C420" t="s">
        <v>490</v>
      </c>
      <c r="D420" t="s">
        <v>7</v>
      </c>
      <c r="E420" s="4">
        <v>44010</v>
      </c>
      <c r="F420" s="4">
        <v>45082</v>
      </c>
      <c r="G420">
        <v>62483291.060000002</v>
      </c>
    </row>
    <row r="421" spans="1:7" x14ac:dyDescent="0.45">
      <c r="A421" t="s">
        <v>491</v>
      </c>
      <c r="B421" t="s">
        <v>239</v>
      </c>
      <c r="C421" t="s">
        <v>253</v>
      </c>
      <c r="D421" t="s">
        <v>7</v>
      </c>
      <c r="E421" s="4">
        <v>44088</v>
      </c>
      <c r="F421" s="4">
        <v>45156</v>
      </c>
      <c r="G421">
        <v>5161404.75</v>
      </c>
    </row>
    <row r="422" spans="1:7" x14ac:dyDescent="0.45">
      <c r="A422" t="s">
        <v>492</v>
      </c>
      <c r="B422" t="s">
        <v>294</v>
      </c>
      <c r="C422" t="s">
        <v>406</v>
      </c>
      <c r="D422" t="s">
        <v>7</v>
      </c>
      <c r="E422" s="4">
        <v>44959</v>
      </c>
      <c r="F422" s="4">
        <v>45703</v>
      </c>
      <c r="G422">
        <v>457687378.13999999</v>
      </c>
    </row>
    <row r="423" spans="1:7" x14ac:dyDescent="0.45">
      <c r="A423" t="s">
        <v>493</v>
      </c>
      <c r="B423" t="s">
        <v>319</v>
      </c>
      <c r="C423" t="s">
        <v>345</v>
      </c>
      <c r="D423" t="s">
        <v>7</v>
      </c>
      <c r="E423" s="4">
        <v>44645</v>
      </c>
      <c r="F423" s="4">
        <v>45021</v>
      </c>
      <c r="G423">
        <v>6812927.3600000003</v>
      </c>
    </row>
    <row r="424" spans="1:7" x14ac:dyDescent="0.45">
      <c r="A424" t="s">
        <v>494</v>
      </c>
      <c r="B424" t="s">
        <v>234</v>
      </c>
      <c r="C424" t="s">
        <v>361</v>
      </c>
      <c r="D424" t="s">
        <v>7</v>
      </c>
      <c r="E424" s="4">
        <v>44614</v>
      </c>
      <c r="F424" s="4">
        <v>48289</v>
      </c>
      <c r="G424">
        <v>147453266.91</v>
      </c>
    </row>
    <row r="425" spans="1:7" x14ac:dyDescent="0.45">
      <c r="A425" t="s">
        <v>495</v>
      </c>
      <c r="B425" t="s">
        <v>282</v>
      </c>
      <c r="C425" t="s">
        <v>459</v>
      </c>
      <c r="D425" t="s">
        <v>7</v>
      </c>
      <c r="E425" s="4">
        <v>45409</v>
      </c>
      <c r="F425" s="4">
        <v>45745</v>
      </c>
      <c r="G425">
        <v>5167035.1100000003</v>
      </c>
    </row>
    <row r="426" spans="1:7" x14ac:dyDescent="0.45">
      <c r="A426" t="s">
        <v>496</v>
      </c>
      <c r="B426" t="s">
        <v>319</v>
      </c>
      <c r="C426" t="s">
        <v>275</v>
      </c>
      <c r="D426" t="s">
        <v>7</v>
      </c>
      <c r="E426" s="4">
        <v>44264</v>
      </c>
      <c r="F426" s="4">
        <v>44655</v>
      </c>
      <c r="G426">
        <v>12899558.34</v>
      </c>
    </row>
    <row r="427" spans="1:7" x14ac:dyDescent="0.45">
      <c r="A427" t="s">
        <v>497</v>
      </c>
      <c r="B427" t="s">
        <v>288</v>
      </c>
      <c r="C427" t="s">
        <v>435</v>
      </c>
      <c r="D427" t="s">
        <v>7</v>
      </c>
      <c r="E427" s="4">
        <v>43924</v>
      </c>
      <c r="F427" s="4">
        <v>44261</v>
      </c>
      <c r="G427">
        <v>73295764.019999996</v>
      </c>
    </row>
    <row r="428" spans="1:7" x14ac:dyDescent="0.45">
      <c r="A428" t="s">
        <v>498</v>
      </c>
      <c r="B428" t="s">
        <v>332</v>
      </c>
      <c r="C428" t="s">
        <v>483</v>
      </c>
      <c r="D428" t="s">
        <v>7</v>
      </c>
      <c r="E428" s="4">
        <v>45041</v>
      </c>
      <c r="F428" s="4">
        <v>47569</v>
      </c>
      <c r="G428">
        <v>36033710.619999997</v>
      </c>
    </row>
    <row r="429" spans="1:7" x14ac:dyDescent="0.45">
      <c r="A429" t="s">
        <v>499</v>
      </c>
      <c r="B429" t="s">
        <v>210</v>
      </c>
      <c r="C429" t="s">
        <v>348</v>
      </c>
      <c r="D429" t="s">
        <v>7</v>
      </c>
      <c r="E429" s="4">
        <v>43956</v>
      </c>
      <c r="F429" s="4">
        <v>49434</v>
      </c>
      <c r="G429">
        <v>34763852.850000001</v>
      </c>
    </row>
    <row r="430" spans="1:7" x14ac:dyDescent="0.45">
      <c r="A430" t="s">
        <v>500</v>
      </c>
      <c r="B430" t="s">
        <v>245</v>
      </c>
      <c r="C430" t="s">
        <v>382</v>
      </c>
      <c r="D430" t="s">
        <v>7</v>
      </c>
      <c r="E430" s="4">
        <v>45610</v>
      </c>
      <c r="F430" s="4">
        <v>46678</v>
      </c>
      <c r="G430">
        <v>9474277.6899999995</v>
      </c>
    </row>
    <row r="431" spans="1:7" x14ac:dyDescent="0.45">
      <c r="A431" t="s">
        <v>501</v>
      </c>
      <c r="B431" t="s">
        <v>322</v>
      </c>
      <c r="C431" t="s">
        <v>490</v>
      </c>
      <c r="D431" t="s">
        <v>7</v>
      </c>
      <c r="E431" s="4">
        <v>44383</v>
      </c>
      <c r="F431" s="4">
        <v>46208</v>
      </c>
      <c r="G431">
        <v>37066277.689999998</v>
      </c>
    </row>
    <row r="432" spans="1:7" x14ac:dyDescent="0.45">
      <c r="A432" t="s">
        <v>502</v>
      </c>
      <c r="B432" t="s">
        <v>225</v>
      </c>
      <c r="C432" t="s">
        <v>273</v>
      </c>
      <c r="D432" t="s">
        <v>7</v>
      </c>
      <c r="E432" s="4">
        <v>44821</v>
      </c>
      <c r="F432" s="4">
        <v>45171</v>
      </c>
      <c r="G432">
        <v>68203526.640000001</v>
      </c>
    </row>
    <row r="433" spans="1:7" x14ac:dyDescent="0.45">
      <c r="A433" t="s">
        <v>503</v>
      </c>
      <c r="B433" t="s">
        <v>504</v>
      </c>
      <c r="C433" t="s">
        <v>362</v>
      </c>
      <c r="D433" t="s">
        <v>7</v>
      </c>
      <c r="E433" s="4">
        <v>44203</v>
      </c>
      <c r="F433" s="4">
        <v>47870</v>
      </c>
      <c r="G433">
        <v>77889766.870000005</v>
      </c>
    </row>
    <row r="434" spans="1:7" x14ac:dyDescent="0.45">
      <c r="A434" t="s">
        <v>503</v>
      </c>
      <c r="B434" t="s">
        <v>504</v>
      </c>
      <c r="C434" t="s">
        <v>341</v>
      </c>
      <c r="D434" t="s">
        <v>7</v>
      </c>
      <c r="E434" s="4">
        <v>44203</v>
      </c>
      <c r="F434" s="4">
        <v>47870</v>
      </c>
      <c r="G434">
        <v>7333917.2400000002</v>
      </c>
    </row>
    <row r="435" spans="1:7" x14ac:dyDescent="0.45">
      <c r="A435" t="s">
        <v>503</v>
      </c>
      <c r="B435" t="s">
        <v>504</v>
      </c>
      <c r="C435" t="s">
        <v>351</v>
      </c>
      <c r="D435" t="s">
        <v>7</v>
      </c>
      <c r="E435" s="4">
        <v>44203</v>
      </c>
      <c r="F435" s="4">
        <v>47870</v>
      </c>
      <c r="G435">
        <v>3547532.78</v>
      </c>
    </row>
    <row r="436" spans="1:7" x14ac:dyDescent="0.45">
      <c r="A436" t="s">
        <v>503</v>
      </c>
      <c r="B436" t="s">
        <v>504</v>
      </c>
      <c r="C436" t="s">
        <v>361</v>
      </c>
      <c r="D436" t="s">
        <v>7</v>
      </c>
      <c r="E436" s="4">
        <v>44203</v>
      </c>
      <c r="F436" s="4">
        <v>47870</v>
      </c>
      <c r="G436">
        <v>89453075.709999993</v>
      </c>
    </row>
    <row r="437" spans="1:7" x14ac:dyDescent="0.45">
      <c r="A437" t="s">
        <v>503</v>
      </c>
      <c r="B437" t="s">
        <v>504</v>
      </c>
      <c r="C437" t="s">
        <v>271</v>
      </c>
      <c r="D437" t="s">
        <v>7</v>
      </c>
      <c r="E437" s="4">
        <v>44203</v>
      </c>
      <c r="F437" s="4">
        <v>47870</v>
      </c>
      <c r="G437">
        <v>7501722.1600000001</v>
      </c>
    </row>
    <row r="438" spans="1:7" x14ac:dyDescent="0.45">
      <c r="A438" t="s">
        <v>503</v>
      </c>
      <c r="B438" t="s">
        <v>504</v>
      </c>
      <c r="C438" t="s">
        <v>505</v>
      </c>
      <c r="D438" t="s">
        <v>7</v>
      </c>
      <c r="E438" s="4">
        <v>44203</v>
      </c>
      <c r="F438" s="4">
        <v>47870</v>
      </c>
      <c r="G438">
        <v>14114390.32</v>
      </c>
    </row>
    <row r="439" spans="1:7" x14ac:dyDescent="0.45">
      <c r="A439" t="s">
        <v>503</v>
      </c>
      <c r="B439" t="s">
        <v>504</v>
      </c>
      <c r="C439" t="s">
        <v>406</v>
      </c>
      <c r="D439" t="s">
        <v>7</v>
      </c>
      <c r="E439" s="4">
        <v>44203</v>
      </c>
      <c r="F439" s="4">
        <v>47870</v>
      </c>
      <c r="G439">
        <v>59798040.719999999</v>
      </c>
    </row>
    <row r="440" spans="1:7" x14ac:dyDescent="0.45">
      <c r="A440" t="s">
        <v>503</v>
      </c>
      <c r="B440" t="s">
        <v>504</v>
      </c>
      <c r="C440" t="s">
        <v>10</v>
      </c>
      <c r="D440" t="s">
        <v>7</v>
      </c>
      <c r="E440" s="4">
        <v>44203</v>
      </c>
      <c r="F440" s="4">
        <v>47870</v>
      </c>
      <c r="G440">
        <v>27657260.449999999</v>
      </c>
    </row>
    <row r="441" spans="1:7" x14ac:dyDescent="0.45">
      <c r="A441" t="s">
        <v>503</v>
      </c>
      <c r="B441" t="s">
        <v>504</v>
      </c>
      <c r="C441" t="s">
        <v>506</v>
      </c>
      <c r="D441" t="s">
        <v>7</v>
      </c>
      <c r="E441" s="4">
        <v>44203</v>
      </c>
      <c r="F441" s="4">
        <v>47870</v>
      </c>
      <c r="G441">
        <v>3211570.15</v>
      </c>
    </row>
    <row r="442" spans="1:7" x14ac:dyDescent="0.45">
      <c r="A442" t="s">
        <v>503</v>
      </c>
      <c r="B442" t="s">
        <v>504</v>
      </c>
      <c r="C442" t="s">
        <v>360</v>
      </c>
      <c r="D442" t="s">
        <v>7</v>
      </c>
      <c r="E442" s="4">
        <v>44203</v>
      </c>
      <c r="F442" s="4">
        <v>47870</v>
      </c>
      <c r="G442">
        <v>53975899.049999997</v>
      </c>
    </row>
    <row r="443" spans="1:7" x14ac:dyDescent="0.45">
      <c r="A443" t="s">
        <v>507</v>
      </c>
      <c r="B443" t="s">
        <v>234</v>
      </c>
      <c r="C443" t="s">
        <v>214</v>
      </c>
      <c r="D443" t="s">
        <v>7</v>
      </c>
      <c r="E443" s="4">
        <v>43914</v>
      </c>
      <c r="F443" s="4">
        <v>44990</v>
      </c>
      <c r="G443">
        <v>96151320.450000003</v>
      </c>
    </row>
    <row r="444" spans="1:7" x14ac:dyDescent="0.45">
      <c r="A444" t="s">
        <v>508</v>
      </c>
      <c r="B444" t="s">
        <v>465</v>
      </c>
      <c r="C444" t="s">
        <v>258</v>
      </c>
      <c r="D444" t="s">
        <v>7</v>
      </c>
      <c r="E444" s="4">
        <v>43759</v>
      </c>
      <c r="F444" s="4">
        <v>45593</v>
      </c>
      <c r="G444">
        <v>11415859.02</v>
      </c>
    </row>
    <row r="445" spans="1:7" x14ac:dyDescent="0.45">
      <c r="A445" t="s">
        <v>508</v>
      </c>
      <c r="B445" t="s">
        <v>465</v>
      </c>
      <c r="C445" t="s">
        <v>509</v>
      </c>
      <c r="D445" t="s">
        <v>7</v>
      </c>
      <c r="E445" s="4">
        <v>43759</v>
      </c>
      <c r="F445" s="4">
        <v>45593</v>
      </c>
      <c r="G445">
        <v>1150535.33</v>
      </c>
    </row>
    <row r="446" spans="1:7" x14ac:dyDescent="0.45">
      <c r="A446" t="s">
        <v>508</v>
      </c>
      <c r="B446" t="s">
        <v>465</v>
      </c>
      <c r="C446" t="s">
        <v>273</v>
      </c>
      <c r="D446" t="s">
        <v>7</v>
      </c>
      <c r="E446" s="4">
        <v>43759</v>
      </c>
      <c r="F446" s="4">
        <v>45593</v>
      </c>
      <c r="G446">
        <v>272229283.47000003</v>
      </c>
    </row>
    <row r="447" spans="1:7" x14ac:dyDescent="0.45">
      <c r="A447" t="s">
        <v>508</v>
      </c>
      <c r="B447" t="s">
        <v>465</v>
      </c>
      <c r="C447" t="s">
        <v>424</v>
      </c>
      <c r="D447" t="s">
        <v>7</v>
      </c>
      <c r="E447" s="4">
        <v>43759</v>
      </c>
      <c r="F447" s="4">
        <v>45593</v>
      </c>
      <c r="G447">
        <v>2613401.5699999998</v>
      </c>
    </row>
    <row r="448" spans="1:7" x14ac:dyDescent="0.45">
      <c r="A448" t="s">
        <v>508</v>
      </c>
      <c r="B448" t="s">
        <v>465</v>
      </c>
      <c r="C448" t="s">
        <v>483</v>
      </c>
      <c r="D448" t="s">
        <v>7</v>
      </c>
      <c r="E448" s="4">
        <v>43759</v>
      </c>
      <c r="F448" s="4">
        <v>45593</v>
      </c>
      <c r="G448">
        <v>32717637.670000002</v>
      </c>
    </row>
    <row r="449" spans="1:7" x14ac:dyDescent="0.45">
      <c r="A449" t="s">
        <v>508</v>
      </c>
      <c r="B449" t="s">
        <v>465</v>
      </c>
      <c r="C449" t="s">
        <v>439</v>
      </c>
      <c r="D449" t="s">
        <v>7</v>
      </c>
      <c r="E449" s="4">
        <v>43759</v>
      </c>
      <c r="F449" s="4">
        <v>45593</v>
      </c>
      <c r="G449">
        <v>1711173.19</v>
      </c>
    </row>
    <row r="450" spans="1:7" x14ac:dyDescent="0.45">
      <c r="A450" t="s">
        <v>508</v>
      </c>
      <c r="B450" t="s">
        <v>465</v>
      </c>
      <c r="C450" t="s">
        <v>490</v>
      </c>
      <c r="D450" t="s">
        <v>7</v>
      </c>
      <c r="E450" s="4">
        <v>43759</v>
      </c>
      <c r="F450" s="4">
        <v>45593</v>
      </c>
      <c r="G450">
        <v>7275126.8399999999</v>
      </c>
    </row>
    <row r="451" spans="1:7" x14ac:dyDescent="0.45">
      <c r="A451" t="s">
        <v>508</v>
      </c>
      <c r="B451" t="s">
        <v>465</v>
      </c>
      <c r="C451" t="s">
        <v>471</v>
      </c>
      <c r="D451" t="s">
        <v>7</v>
      </c>
      <c r="E451" s="4">
        <v>43759</v>
      </c>
      <c r="F451" s="4">
        <v>45593</v>
      </c>
      <c r="G451">
        <v>68490500.659999996</v>
      </c>
    </row>
    <row r="452" spans="1:7" x14ac:dyDescent="0.45">
      <c r="A452" t="s">
        <v>508</v>
      </c>
      <c r="B452" t="s">
        <v>465</v>
      </c>
      <c r="C452" t="s">
        <v>406</v>
      </c>
      <c r="D452" t="s">
        <v>7</v>
      </c>
      <c r="E452" s="4">
        <v>43759</v>
      </c>
      <c r="F452" s="4">
        <v>45593</v>
      </c>
      <c r="G452">
        <v>52840459.009999998</v>
      </c>
    </row>
    <row r="453" spans="1:7" x14ac:dyDescent="0.45">
      <c r="A453" t="s">
        <v>508</v>
      </c>
      <c r="B453" t="s">
        <v>465</v>
      </c>
      <c r="C453" t="s">
        <v>205</v>
      </c>
      <c r="D453" t="s">
        <v>7</v>
      </c>
      <c r="E453" s="4">
        <v>43759</v>
      </c>
      <c r="F453" s="4">
        <v>45593</v>
      </c>
      <c r="G453">
        <v>1744175.1</v>
      </c>
    </row>
    <row r="454" spans="1:7" x14ac:dyDescent="0.45">
      <c r="A454" t="s">
        <v>508</v>
      </c>
      <c r="B454" t="s">
        <v>465</v>
      </c>
      <c r="C454" t="s">
        <v>253</v>
      </c>
      <c r="D454" t="s">
        <v>7</v>
      </c>
      <c r="E454" s="4">
        <v>43759</v>
      </c>
      <c r="F454" s="4">
        <v>45593</v>
      </c>
      <c r="G454">
        <v>457916484.86000001</v>
      </c>
    </row>
    <row r="455" spans="1:7" x14ac:dyDescent="0.45">
      <c r="A455" t="s">
        <v>508</v>
      </c>
      <c r="B455" t="s">
        <v>465</v>
      </c>
      <c r="C455" t="s">
        <v>387</v>
      </c>
      <c r="D455" t="s">
        <v>7</v>
      </c>
      <c r="E455" s="4">
        <v>43759</v>
      </c>
      <c r="F455" s="4">
        <v>45593</v>
      </c>
      <c r="G455">
        <v>91114566.310000002</v>
      </c>
    </row>
    <row r="456" spans="1:7" x14ac:dyDescent="0.45">
      <c r="A456" t="s">
        <v>510</v>
      </c>
      <c r="B456" t="s">
        <v>285</v>
      </c>
      <c r="C456" t="s">
        <v>417</v>
      </c>
      <c r="D456" t="s">
        <v>7</v>
      </c>
      <c r="E456" s="4">
        <v>45430</v>
      </c>
      <c r="F456" s="4">
        <v>46497</v>
      </c>
      <c r="G456">
        <v>38303622.390000001</v>
      </c>
    </row>
    <row r="457" spans="1:7" x14ac:dyDescent="0.45">
      <c r="A457" t="s">
        <v>511</v>
      </c>
      <c r="B457" t="s">
        <v>372</v>
      </c>
      <c r="C457" t="s">
        <v>414</v>
      </c>
      <c r="D457" t="s">
        <v>7</v>
      </c>
      <c r="E457" s="4">
        <v>43591</v>
      </c>
      <c r="F457" s="4">
        <v>44692</v>
      </c>
      <c r="G457">
        <v>58650618.789999999</v>
      </c>
    </row>
    <row r="458" spans="1:7" x14ac:dyDescent="0.45">
      <c r="A458" t="s">
        <v>512</v>
      </c>
      <c r="B458" t="s">
        <v>210</v>
      </c>
      <c r="C458" t="s">
        <v>235</v>
      </c>
      <c r="D458" t="s">
        <v>7</v>
      </c>
      <c r="E458" s="4">
        <v>45272</v>
      </c>
      <c r="F458" s="4">
        <v>45634</v>
      </c>
      <c r="G458">
        <v>407602261.35000002</v>
      </c>
    </row>
    <row r="459" spans="1:7" x14ac:dyDescent="0.45">
      <c r="A459" t="s">
        <v>513</v>
      </c>
      <c r="B459" t="s">
        <v>242</v>
      </c>
      <c r="C459" t="s">
        <v>314</v>
      </c>
      <c r="D459" t="s">
        <v>7</v>
      </c>
      <c r="E459" s="4">
        <v>43778</v>
      </c>
      <c r="F459" s="4">
        <v>45601</v>
      </c>
      <c r="G459">
        <v>3053245.51</v>
      </c>
    </row>
    <row r="460" spans="1:7" x14ac:dyDescent="0.45">
      <c r="A460" t="s">
        <v>514</v>
      </c>
      <c r="B460" t="s">
        <v>294</v>
      </c>
      <c r="C460" t="s">
        <v>313</v>
      </c>
      <c r="D460" t="s">
        <v>7</v>
      </c>
      <c r="E460" s="4">
        <v>43748</v>
      </c>
      <c r="F460" s="4">
        <v>45588</v>
      </c>
      <c r="G460">
        <v>23879886.75</v>
      </c>
    </row>
    <row r="461" spans="1:7" x14ac:dyDescent="0.45">
      <c r="A461" t="s">
        <v>515</v>
      </c>
      <c r="B461" t="s">
        <v>288</v>
      </c>
      <c r="C461" t="s">
        <v>516</v>
      </c>
      <c r="D461" t="s">
        <v>7</v>
      </c>
      <c r="E461" s="4">
        <v>44230</v>
      </c>
      <c r="F461" s="4">
        <v>44584</v>
      </c>
      <c r="G461">
        <v>4239257.4800000004</v>
      </c>
    </row>
    <row r="462" spans="1:7" x14ac:dyDescent="0.45">
      <c r="A462" t="s">
        <v>517</v>
      </c>
      <c r="B462" t="s">
        <v>353</v>
      </c>
      <c r="C462" t="s">
        <v>391</v>
      </c>
      <c r="D462" t="s">
        <v>7</v>
      </c>
      <c r="E462" s="4">
        <v>43468</v>
      </c>
      <c r="F462" s="4">
        <v>44173</v>
      </c>
      <c r="G462">
        <v>6382394.1799999997</v>
      </c>
    </row>
    <row r="463" spans="1:7" x14ac:dyDescent="0.45">
      <c r="A463" t="s">
        <v>518</v>
      </c>
      <c r="B463" t="s">
        <v>335</v>
      </c>
      <c r="C463" t="s">
        <v>292</v>
      </c>
      <c r="D463" t="s">
        <v>7</v>
      </c>
      <c r="E463" s="4">
        <v>45543</v>
      </c>
      <c r="F463" s="4">
        <v>46618</v>
      </c>
      <c r="G463">
        <v>22495605.309999999</v>
      </c>
    </row>
    <row r="464" spans="1:7" x14ac:dyDescent="0.45">
      <c r="A464" t="s">
        <v>519</v>
      </c>
      <c r="B464" t="s">
        <v>282</v>
      </c>
      <c r="C464" t="s">
        <v>207</v>
      </c>
      <c r="D464" t="s">
        <v>7</v>
      </c>
      <c r="E464" s="4">
        <v>45206</v>
      </c>
      <c r="F464" s="4">
        <v>46279</v>
      </c>
      <c r="G464">
        <v>1060906.32</v>
      </c>
    </row>
    <row r="465" spans="1:7" x14ac:dyDescent="0.45">
      <c r="A465" t="s">
        <v>519</v>
      </c>
      <c r="B465" t="s">
        <v>282</v>
      </c>
      <c r="C465" t="s">
        <v>366</v>
      </c>
      <c r="D465" t="s">
        <v>7</v>
      </c>
      <c r="E465" s="4">
        <v>45206</v>
      </c>
      <c r="F465" s="4">
        <v>46279</v>
      </c>
      <c r="G465">
        <v>49620062.93</v>
      </c>
    </row>
    <row r="466" spans="1:7" x14ac:dyDescent="0.45">
      <c r="A466" t="s">
        <v>519</v>
      </c>
      <c r="B466" t="s">
        <v>282</v>
      </c>
      <c r="C466" t="s">
        <v>479</v>
      </c>
      <c r="D466" t="s">
        <v>7</v>
      </c>
      <c r="E466" s="4">
        <v>45206</v>
      </c>
      <c r="F466" s="4">
        <v>46279</v>
      </c>
      <c r="G466">
        <v>63495362.719999999</v>
      </c>
    </row>
    <row r="467" spans="1:7" x14ac:dyDescent="0.45">
      <c r="A467" t="s">
        <v>519</v>
      </c>
      <c r="B467" t="s">
        <v>282</v>
      </c>
      <c r="C467" t="s">
        <v>417</v>
      </c>
      <c r="D467" t="s">
        <v>7</v>
      </c>
      <c r="E467" s="4">
        <v>45206</v>
      </c>
      <c r="F467" s="4">
        <v>46279</v>
      </c>
      <c r="G467">
        <v>7257630.6600000001</v>
      </c>
    </row>
    <row r="468" spans="1:7" x14ac:dyDescent="0.45">
      <c r="A468" t="s">
        <v>519</v>
      </c>
      <c r="B468" t="s">
        <v>282</v>
      </c>
      <c r="C468" t="s">
        <v>320</v>
      </c>
      <c r="D468" t="s">
        <v>7</v>
      </c>
      <c r="E468" s="4">
        <v>45206</v>
      </c>
      <c r="F468" s="4">
        <v>46279</v>
      </c>
      <c r="G468">
        <v>353160984.79000002</v>
      </c>
    </row>
    <row r="469" spans="1:7" x14ac:dyDescent="0.45">
      <c r="A469" t="s">
        <v>519</v>
      </c>
      <c r="B469" t="s">
        <v>282</v>
      </c>
      <c r="C469" t="s">
        <v>342</v>
      </c>
      <c r="D469" t="s">
        <v>7</v>
      </c>
      <c r="E469" s="4">
        <v>45206</v>
      </c>
      <c r="F469" s="4">
        <v>46279</v>
      </c>
      <c r="G469">
        <v>39329761.369999997</v>
      </c>
    </row>
    <row r="470" spans="1:7" x14ac:dyDescent="0.45">
      <c r="A470" t="s">
        <v>519</v>
      </c>
      <c r="B470" t="s">
        <v>282</v>
      </c>
      <c r="C470" t="s">
        <v>9</v>
      </c>
      <c r="D470" t="s">
        <v>7</v>
      </c>
      <c r="E470" s="4">
        <v>45206</v>
      </c>
      <c r="F470" s="4">
        <v>46279</v>
      </c>
      <c r="G470">
        <v>179920019.47999999</v>
      </c>
    </row>
    <row r="471" spans="1:7" x14ac:dyDescent="0.45">
      <c r="A471" t="s">
        <v>519</v>
      </c>
      <c r="B471" t="s">
        <v>282</v>
      </c>
      <c r="C471" t="s">
        <v>520</v>
      </c>
      <c r="D471" t="s">
        <v>7</v>
      </c>
      <c r="E471" s="4">
        <v>45206</v>
      </c>
      <c r="F471" s="4">
        <v>46279</v>
      </c>
      <c r="G471">
        <v>79085611.700000003</v>
      </c>
    </row>
    <row r="472" spans="1:7" x14ac:dyDescent="0.45">
      <c r="A472" t="s">
        <v>521</v>
      </c>
      <c r="B472" t="s">
        <v>522</v>
      </c>
      <c r="C472" t="s">
        <v>506</v>
      </c>
      <c r="D472" t="s">
        <v>7</v>
      </c>
      <c r="E472" s="4">
        <v>44708</v>
      </c>
      <c r="F472" s="4">
        <v>46555</v>
      </c>
      <c r="G472">
        <v>7056798.8700000001</v>
      </c>
    </row>
    <row r="473" spans="1:7" x14ac:dyDescent="0.45">
      <c r="A473" t="s">
        <v>523</v>
      </c>
      <c r="B473" t="s">
        <v>330</v>
      </c>
      <c r="C473" t="s">
        <v>227</v>
      </c>
      <c r="D473" t="s">
        <v>7</v>
      </c>
      <c r="E473" s="4">
        <v>44607</v>
      </c>
      <c r="F473" s="4">
        <v>50082</v>
      </c>
      <c r="G473">
        <v>55595137.869999997</v>
      </c>
    </row>
    <row r="474" spans="1:7" x14ac:dyDescent="0.45">
      <c r="A474" t="s">
        <v>524</v>
      </c>
      <c r="B474" t="s">
        <v>201</v>
      </c>
      <c r="C474" t="s">
        <v>320</v>
      </c>
      <c r="D474" t="s">
        <v>7</v>
      </c>
      <c r="E474" s="4">
        <v>45555</v>
      </c>
      <c r="F474" s="4">
        <v>46625</v>
      </c>
      <c r="G474">
        <v>69184148.010000005</v>
      </c>
    </row>
    <row r="475" spans="1:7" x14ac:dyDescent="0.45">
      <c r="A475" t="s">
        <v>525</v>
      </c>
      <c r="B475" t="s">
        <v>384</v>
      </c>
      <c r="C475" t="s">
        <v>296</v>
      </c>
      <c r="D475" t="s">
        <v>7</v>
      </c>
      <c r="E475" s="4">
        <v>44596</v>
      </c>
      <c r="F475" s="4">
        <v>47167</v>
      </c>
      <c r="G475">
        <v>40876001.280000001</v>
      </c>
    </row>
    <row r="476" spans="1:7" x14ac:dyDescent="0.45">
      <c r="A476" t="s">
        <v>525</v>
      </c>
      <c r="B476" t="s">
        <v>384</v>
      </c>
      <c r="C476" t="s">
        <v>283</v>
      </c>
      <c r="D476" t="s">
        <v>7</v>
      </c>
      <c r="E476" s="4">
        <v>44596</v>
      </c>
      <c r="F476" s="4">
        <v>47167</v>
      </c>
      <c r="G476">
        <v>18786072.800000001</v>
      </c>
    </row>
    <row r="477" spans="1:7" x14ac:dyDescent="0.45">
      <c r="A477" t="s">
        <v>525</v>
      </c>
      <c r="B477" t="s">
        <v>384</v>
      </c>
      <c r="C477" t="s">
        <v>289</v>
      </c>
      <c r="D477" t="s">
        <v>7</v>
      </c>
      <c r="E477" s="4">
        <v>44596</v>
      </c>
      <c r="F477" s="4">
        <v>47167</v>
      </c>
      <c r="G477">
        <v>1604569.06</v>
      </c>
    </row>
    <row r="478" spans="1:7" x14ac:dyDescent="0.45">
      <c r="A478" t="s">
        <v>525</v>
      </c>
      <c r="B478" t="s">
        <v>384</v>
      </c>
      <c r="C478" t="s">
        <v>472</v>
      </c>
      <c r="D478" t="s">
        <v>7</v>
      </c>
      <c r="E478" s="4">
        <v>44596</v>
      </c>
      <c r="F478" s="4">
        <v>47167</v>
      </c>
      <c r="G478">
        <v>420020050.30000001</v>
      </c>
    </row>
    <row r="479" spans="1:7" x14ac:dyDescent="0.45">
      <c r="A479" t="s">
        <v>525</v>
      </c>
      <c r="B479" t="s">
        <v>384</v>
      </c>
      <c r="C479" t="s">
        <v>471</v>
      </c>
      <c r="D479" t="s">
        <v>7</v>
      </c>
      <c r="E479" s="4">
        <v>44596</v>
      </c>
      <c r="F479" s="4">
        <v>47167</v>
      </c>
      <c r="G479">
        <v>7664405.3600000003</v>
      </c>
    </row>
    <row r="480" spans="1:7" x14ac:dyDescent="0.45">
      <c r="A480" t="s">
        <v>525</v>
      </c>
      <c r="B480" t="s">
        <v>384</v>
      </c>
      <c r="C480" t="s">
        <v>248</v>
      </c>
      <c r="D480" t="s">
        <v>7</v>
      </c>
      <c r="E480" s="4">
        <v>44596</v>
      </c>
      <c r="F480" s="4">
        <v>47167</v>
      </c>
      <c r="G480">
        <v>51584874.170000002</v>
      </c>
    </row>
    <row r="481" spans="1:7" x14ac:dyDescent="0.45">
      <c r="A481" t="s">
        <v>525</v>
      </c>
      <c r="B481" t="s">
        <v>384</v>
      </c>
      <c r="C481" t="s">
        <v>312</v>
      </c>
      <c r="D481" t="s">
        <v>7</v>
      </c>
      <c r="E481" s="4">
        <v>44596</v>
      </c>
      <c r="F481" s="4">
        <v>47167</v>
      </c>
      <c r="G481">
        <v>69157712</v>
      </c>
    </row>
    <row r="482" spans="1:7" x14ac:dyDescent="0.45">
      <c r="A482" t="s">
        <v>525</v>
      </c>
      <c r="B482" t="s">
        <v>384</v>
      </c>
      <c r="C482" t="s">
        <v>208</v>
      </c>
      <c r="D482" t="s">
        <v>7</v>
      </c>
      <c r="E482" s="4">
        <v>44596</v>
      </c>
      <c r="F482" s="4">
        <v>47167</v>
      </c>
      <c r="G482">
        <v>8947876.3699999992</v>
      </c>
    </row>
    <row r="483" spans="1:7" x14ac:dyDescent="0.45">
      <c r="A483" t="s">
        <v>525</v>
      </c>
      <c r="B483" t="s">
        <v>384</v>
      </c>
      <c r="C483" t="s">
        <v>260</v>
      </c>
      <c r="D483" t="s">
        <v>7</v>
      </c>
      <c r="E483" s="4">
        <v>44596</v>
      </c>
      <c r="F483" s="4">
        <v>47167</v>
      </c>
      <c r="G483">
        <v>35051034.75</v>
      </c>
    </row>
    <row r="484" spans="1:7" x14ac:dyDescent="0.45">
      <c r="A484" t="s">
        <v>525</v>
      </c>
      <c r="B484" t="s">
        <v>384</v>
      </c>
      <c r="C484" t="s">
        <v>526</v>
      </c>
      <c r="D484" t="s">
        <v>7</v>
      </c>
      <c r="E484" s="4">
        <v>44596</v>
      </c>
      <c r="F484" s="4">
        <v>47167</v>
      </c>
      <c r="G484">
        <v>6196131.1500000004</v>
      </c>
    </row>
    <row r="485" spans="1:7" x14ac:dyDescent="0.45">
      <c r="A485" t="s">
        <v>525</v>
      </c>
      <c r="B485" t="s">
        <v>384</v>
      </c>
      <c r="C485" t="s">
        <v>387</v>
      </c>
      <c r="D485" t="s">
        <v>7</v>
      </c>
      <c r="E485" s="4">
        <v>44596</v>
      </c>
      <c r="F485" s="4">
        <v>47167</v>
      </c>
      <c r="G485">
        <v>20255947.359999999</v>
      </c>
    </row>
    <row r="486" spans="1:7" x14ac:dyDescent="0.45">
      <c r="A486" t="s">
        <v>525</v>
      </c>
      <c r="B486" t="s">
        <v>384</v>
      </c>
      <c r="C486" t="s">
        <v>421</v>
      </c>
      <c r="D486" t="s">
        <v>7</v>
      </c>
      <c r="E486" s="4">
        <v>44596</v>
      </c>
      <c r="F486" s="4">
        <v>47167</v>
      </c>
      <c r="G486">
        <v>9693247.5999999996</v>
      </c>
    </row>
    <row r="487" spans="1:7" x14ac:dyDescent="0.45">
      <c r="A487" t="s">
        <v>525</v>
      </c>
      <c r="B487" t="s">
        <v>384</v>
      </c>
      <c r="C487" t="s">
        <v>299</v>
      </c>
      <c r="D487" t="s">
        <v>7</v>
      </c>
      <c r="E487" s="4">
        <v>44596</v>
      </c>
      <c r="F487" s="4">
        <v>47167</v>
      </c>
      <c r="G487">
        <v>2028088.66</v>
      </c>
    </row>
    <row r="488" spans="1:7" x14ac:dyDescent="0.45">
      <c r="A488" t="s">
        <v>525</v>
      </c>
      <c r="B488" t="s">
        <v>384</v>
      </c>
      <c r="C488" t="s">
        <v>259</v>
      </c>
      <c r="D488" t="s">
        <v>7</v>
      </c>
      <c r="E488" s="4">
        <v>44596</v>
      </c>
      <c r="F488" s="4">
        <v>47167</v>
      </c>
      <c r="G488">
        <v>82055204.489999995</v>
      </c>
    </row>
    <row r="489" spans="1:7" x14ac:dyDescent="0.45">
      <c r="A489" t="s">
        <v>525</v>
      </c>
      <c r="B489" t="s">
        <v>384</v>
      </c>
      <c r="C489" t="s">
        <v>490</v>
      </c>
      <c r="D489" t="s">
        <v>7</v>
      </c>
      <c r="E489" s="4">
        <v>44596</v>
      </c>
      <c r="F489" s="4">
        <v>47167</v>
      </c>
      <c r="G489">
        <v>7048990.7400000002</v>
      </c>
    </row>
    <row r="490" spans="1:7" x14ac:dyDescent="0.45">
      <c r="A490" t="s">
        <v>525</v>
      </c>
      <c r="B490" t="s">
        <v>384</v>
      </c>
      <c r="C490" t="s">
        <v>359</v>
      </c>
      <c r="D490" t="s">
        <v>7</v>
      </c>
      <c r="E490" s="4">
        <v>44596</v>
      </c>
      <c r="F490" s="4">
        <v>47167</v>
      </c>
      <c r="G490">
        <v>22722268.890000001</v>
      </c>
    </row>
    <row r="491" spans="1:7" x14ac:dyDescent="0.45">
      <c r="A491" t="s">
        <v>525</v>
      </c>
      <c r="B491" t="s">
        <v>384</v>
      </c>
      <c r="C491" t="s">
        <v>202</v>
      </c>
      <c r="D491" t="s">
        <v>7</v>
      </c>
      <c r="E491" s="4">
        <v>44596</v>
      </c>
      <c r="F491" s="4">
        <v>47167</v>
      </c>
      <c r="G491">
        <v>48073490.390000001</v>
      </c>
    </row>
    <row r="492" spans="1:7" x14ac:dyDescent="0.45">
      <c r="A492" t="s">
        <v>525</v>
      </c>
      <c r="B492" t="s">
        <v>384</v>
      </c>
      <c r="C492" t="s">
        <v>479</v>
      </c>
      <c r="D492" t="s">
        <v>7</v>
      </c>
      <c r="E492" s="4">
        <v>44596</v>
      </c>
      <c r="F492" s="4">
        <v>47167</v>
      </c>
      <c r="G492">
        <v>9272448.9700000007</v>
      </c>
    </row>
    <row r="493" spans="1:7" x14ac:dyDescent="0.45">
      <c r="A493" t="s">
        <v>525</v>
      </c>
      <c r="B493" t="s">
        <v>384</v>
      </c>
      <c r="C493" t="s">
        <v>336</v>
      </c>
      <c r="D493" t="s">
        <v>7</v>
      </c>
      <c r="E493" s="4">
        <v>44596</v>
      </c>
      <c r="F493" s="4">
        <v>47167</v>
      </c>
      <c r="G493">
        <v>26838872.199999999</v>
      </c>
    </row>
    <row r="494" spans="1:7" x14ac:dyDescent="0.45">
      <c r="A494" t="s">
        <v>525</v>
      </c>
      <c r="B494" t="s">
        <v>384</v>
      </c>
      <c r="C494" t="s">
        <v>374</v>
      </c>
      <c r="D494" t="s">
        <v>7</v>
      </c>
      <c r="E494" s="4">
        <v>44596</v>
      </c>
      <c r="F494" s="4">
        <v>47167</v>
      </c>
      <c r="G494">
        <v>8789700.0800000001</v>
      </c>
    </row>
    <row r="495" spans="1:7" x14ac:dyDescent="0.45">
      <c r="A495" t="s">
        <v>527</v>
      </c>
      <c r="B495" t="s">
        <v>237</v>
      </c>
      <c r="C495" t="s">
        <v>205</v>
      </c>
      <c r="D495" t="s">
        <v>7</v>
      </c>
      <c r="E495" s="4">
        <v>45518</v>
      </c>
      <c r="F495" s="4">
        <v>47339</v>
      </c>
      <c r="G495">
        <v>8559026.2200000007</v>
      </c>
    </row>
    <row r="496" spans="1:7" x14ac:dyDescent="0.45">
      <c r="A496" t="s">
        <v>528</v>
      </c>
      <c r="B496" t="s">
        <v>216</v>
      </c>
      <c r="C496" t="s">
        <v>454</v>
      </c>
      <c r="D496" t="s">
        <v>7</v>
      </c>
      <c r="E496" s="4">
        <v>43593</v>
      </c>
      <c r="F496" s="4">
        <v>44668</v>
      </c>
      <c r="G496">
        <v>76826642.670000002</v>
      </c>
    </row>
    <row r="497" spans="1:7" x14ac:dyDescent="0.45">
      <c r="A497" t="s">
        <v>529</v>
      </c>
      <c r="B497" t="s">
        <v>213</v>
      </c>
      <c r="C497" t="s">
        <v>270</v>
      </c>
      <c r="D497" t="s">
        <v>7</v>
      </c>
      <c r="E497" s="4">
        <v>45030</v>
      </c>
      <c r="F497" s="4">
        <v>45418</v>
      </c>
      <c r="G497">
        <v>36793804.159999996</v>
      </c>
    </row>
    <row r="498" spans="1:7" x14ac:dyDescent="0.45">
      <c r="A498" t="s">
        <v>529</v>
      </c>
      <c r="B498" t="s">
        <v>213</v>
      </c>
      <c r="C498" t="s">
        <v>271</v>
      </c>
      <c r="D498" t="s">
        <v>7</v>
      </c>
      <c r="E498" s="4">
        <v>45030</v>
      </c>
      <c r="F498" s="4">
        <v>45418</v>
      </c>
      <c r="G498">
        <v>275627961.35000002</v>
      </c>
    </row>
    <row r="499" spans="1:7" x14ac:dyDescent="0.45">
      <c r="A499" t="s">
        <v>529</v>
      </c>
      <c r="B499" t="s">
        <v>213</v>
      </c>
      <c r="C499" t="s">
        <v>339</v>
      </c>
      <c r="D499" t="s">
        <v>7</v>
      </c>
      <c r="E499" s="4">
        <v>45030</v>
      </c>
      <c r="F499" s="4">
        <v>45418</v>
      </c>
      <c r="G499">
        <v>31325144.98</v>
      </c>
    </row>
    <row r="500" spans="1:7" x14ac:dyDescent="0.45">
      <c r="A500" t="s">
        <v>530</v>
      </c>
      <c r="B500" t="s">
        <v>304</v>
      </c>
      <c r="C500" t="s">
        <v>267</v>
      </c>
      <c r="D500" t="s">
        <v>7</v>
      </c>
      <c r="E500" s="4">
        <v>44109</v>
      </c>
      <c r="F500" s="4">
        <v>45956</v>
      </c>
      <c r="G500">
        <v>61306691.030000001</v>
      </c>
    </row>
    <row r="501" spans="1:7" x14ac:dyDescent="0.45">
      <c r="A501" t="s">
        <v>531</v>
      </c>
      <c r="B501" t="s">
        <v>335</v>
      </c>
      <c r="C501" t="s">
        <v>454</v>
      </c>
      <c r="D501" t="s">
        <v>7</v>
      </c>
      <c r="E501" s="4">
        <v>44478</v>
      </c>
      <c r="F501" s="4">
        <v>48130</v>
      </c>
      <c r="G501">
        <v>22203001.579999998</v>
      </c>
    </row>
    <row r="502" spans="1:7" x14ac:dyDescent="0.45">
      <c r="A502" t="s">
        <v>532</v>
      </c>
      <c r="B502" t="s">
        <v>230</v>
      </c>
      <c r="C502" t="s">
        <v>459</v>
      </c>
      <c r="D502" t="s">
        <v>7</v>
      </c>
      <c r="E502" s="4">
        <v>44148</v>
      </c>
      <c r="F502" s="4">
        <v>45249</v>
      </c>
      <c r="G502">
        <v>47280258.039999999</v>
      </c>
    </row>
    <row r="503" spans="1:7" x14ac:dyDescent="0.45">
      <c r="A503" t="s">
        <v>532</v>
      </c>
      <c r="B503" t="s">
        <v>230</v>
      </c>
      <c r="C503" t="s">
        <v>426</v>
      </c>
      <c r="D503" t="s">
        <v>7</v>
      </c>
      <c r="E503" s="4">
        <v>44148</v>
      </c>
      <c r="F503" s="4">
        <v>45249</v>
      </c>
      <c r="G503">
        <v>8921125.7300000004</v>
      </c>
    </row>
    <row r="504" spans="1:7" x14ac:dyDescent="0.45">
      <c r="A504" t="s">
        <v>532</v>
      </c>
      <c r="B504" t="s">
        <v>230</v>
      </c>
      <c r="C504" t="s">
        <v>9</v>
      </c>
      <c r="D504" t="s">
        <v>7</v>
      </c>
      <c r="E504" s="4">
        <v>44148</v>
      </c>
      <c r="F504" s="4">
        <v>45249</v>
      </c>
      <c r="G504">
        <v>9427025.0299999993</v>
      </c>
    </row>
    <row r="505" spans="1:7" x14ac:dyDescent="0.45">
      <c r="A505" t="s">
        <v>532</v>
      </c>
      <c r="B505" t="s">
        <v>230</v>
      </c>
      <c r="C505" t="s">
        <v>6</v>
      </c>
      <c r="D505" t="s">
        <v>7</v>
      </c>
      <c r="E505" s="4">
        <v>44148</v>
      </c>
      <c r="F505" s="4">
        <v>45249</v>
      </c>
      <c r="G505">
        <v>79672176.140000001</v>
      </c>
    </row>
    <row r="506" spans="1:7" x14ac:dyDescent="0.45">
      <c r="A506" t="s">
        <v>532</v>
      </c>
      <c r="B506" t="s">
        <v>230</v>
      </c>
      <c r="C506" t="s">
        <v>348</v>
      </c>
      <c r="D506" t="s">
        <v>7</v>
      </c>
      <c r="E506" s="4">
        <v>44148</v>
      </c>
      <c r="F506" s="4">
        <v>45249</v>
      </c>
      <c r="G506">
        <v>5126043.3099999996</v>
      </c>
    </row>
    <row r="507" spans="1:7" x14ac:dyDescent="0.45">
      <c r="A507" t="s">
        <v>533</v>
      </c>
      <c r="B507" t="s">
        <v>434</v>
      </c>
      <c r="C507" t="s">
        <v>406</v>
      </c>
      <c r="D507" t="s">
        <v>7</v>
      </c>
      <c r="E507" s="4">
        <v>44667</v>
      </c>
      <c r="F507" s="4">
        <v>45420</v>
      </c>
      <c r="G507">
        <v>62014027.619999997</v>
      </c>
    </row>
    <row r="508" spans="1:7" x14ac:dyDescent="0.45">
      <c r="A508" t="s">
        <v>534</v>
      </c>
      <c r="B508" t="s">
        <v>408</v>
      </c>
      <c r="C508" t="s">
        <v>258</v>
      </c>
      <c r="D508" t="s">
        <v>7</v>
      </c>
      <c r="E508" s="4">
        <v>43517</v>
      </c>
      <c r="F508" s="4">
        <v>45341</v>
      </c>
      <c r="G508">
        <v>2118134.61</v>
      </c>
    </row>
    <row r="509" spans="1:7" x14ac:dyDescent="0.45">
      <c r="A509" t="s">
        <v>535</v>
      </c>
      <c r="B509" t="s">
        <v>347</v>
      </c>
      <c r="C509" t="s">
        <v>536</v>
      </c>
      <c r="D509" t="s">
        <v>7</v>
      </c>
      <c r="E509" s="4">
        <v>45372</v>
      </c>
      <c r="F509" s="4">
        <v>46127</v>
      </c>
      <c r="G509">
        <v>42439184.509999998</v>
      </c>
    </row>
    <row r="510" spans="1:7" x14ac:dyDescent="0.45">
      <c r="A510" t="s">
        <v>537</v>
      </c>
      <c r="B510" t="s">
        <v>210</v>
      </c>
      <c r="C510" t="s">
        <v>341</v>
      </c>
      <c r="D510" t="s">
        <v>7</v>
      </c>
      <c r="E510" s="4">
        <v>44875</v>
      </c>
      <c r="F510" s="4">
        <v>46718</v>
      </c>
      <c r="G510">
        <v>4863078.47</v>
      </c>
    </row>
    <row r="511" spans="1:7" x14ac:dyDescent="0.45">
      <c r="A511" t="s">
        <v>538</v>
      </c>
      <c r="B511" t="s">
        <v>201</v>
      </c>
      <c r="C511" t="s">
        <v>301</v>
      </c>
      <c r="D511" t="s">
        <v>7</v>
      </c>
      <c r="E511" s="4">
        <v>44015</v>
      </c>
      <c r="F511" s="4">
        <v>45816</v>
      </c>
      <c r="G511">
        <v>89289009.549999997</v>
      </c>
    </row>
    <row r="512" spans="1:7" x14ac:dyDescent="0.45">
      <c r="A512" t="s">
        <v>538</v>
      </c>
      <c r="B512" t="s">
        <v>201</v>
      </c>
      <c r="C512" t="s">
        <v>471</v>
      </c>
      <c r="D512" t="s">
        <v>7</v>
      </c>
      <c r="E512" s="4">
        <v>44015</v>
      </c>
      <c r="F512" s="4">
        <v>45816</v>
      </c>
      <c r="G512">
        <v>7778420.21</v>
      </c>
    </row>
    <row r="513" spans="1:7" x14ac:dyDescent="0.45">
      <c r="A513" t="s">
        <v>538</v>
      </c>
      <c r="B513" t="s">
        <v>201</v>
      </c>
      <c r="C513" t="s">
        <v>340</v>
      </c>
      <c r="D513" t="s">
        <v>7</v>
      </c>
      <c r="E513" s="4">
        <v>44015</v>
      </c>
      <c r="F513" s="4">
        <v>45816</v>
      </c>
      <c r="G513">
        <v>10762726.779999999</v>
      </c>
    </row>
    <row r="514" spans="1:7" x14ac:dyDescent="0.45">
      <c r="A514" t="s">
        <v>538</v>
      </c>
      <c r="B514" t="s">
        <v>201</v>
      </c>
      <c r="C514" t="s">
        <v>240</v>
      </c>
      <c r="D514" t="s">
        <v>7</v>
      </c>
      <c r="E514" s="4">
        <v>44015</v>
      </c>
      <c r="F514" s="4">
        <v>45816</v>
      </c>
      <c r="G514">
        <v>66527203.450000003</v>
      </c>
    </row>
    <row r="515" spans="1:7" x14ac:dyDescent="0.45">
      <c r="A515" t="s">
        <v>538</v>
      </c>
      <c r="B515" t="s">
        <v>201</v>
      </c>
      <c r="C515" t="s">
        <v>227</v>
      </c>
      <c r="D515" t="s">
        <v>7</v>
      </c>
      <c r="E515" s="4">
        <v>44015</v>
      </c>
      <c r="F515" s="4">
        <v>45816</v>
      </c>
      <c r="G515">
        <v>7179095.5300000003</v>
      </c>
    </row>
    <row r="516" spans="1:7" x14ac:dyDescent="0.45">
      <c r="A516" t="s">
        <v>538</v>
      </c>
      <c r="B516" t="s">
        <v>201</v>
      </c>
      <c r="C516" t="s">
        <v>426</v>
      </c>
      <c r="D516" t="s">
        <v>7</v>
      </c>
      <c r="E516" s="4">
        <v>44015</v>
      </c>
      <c r="F516" s="4">
        <v>45816</v>
      </c>
      <c r="G516">
        <v>253612763.74000001</v>
      </c>
    </row>
    <row r="517" spans="1:7" x14ac:dyDescent="0.45">
      <c r="A517" t="s">
        <v>538</v>
      </c>
      <c r="B517" t="s">
        <v>201</v>
      </c>
      <c r="C517" t="s">
        <v>10</v>
      </c>
      <c r="D517" t="s">
        <v>7</v>
      </c>
      <c r="E517" s="4">
        <v>44015</v>
      </c>
      <c r="F517" s="4">
        <v>45816</v>
      </c>
      <c r="G517">
        <v>3830533.01</v>
      </c>
    </row>
    <row r="518" spans="1:7" x14ac:dyDescent="0.45">
      <c r="A518" t="s">
        <v>538</v>
      </c>
      <c r="B518" t="s">
        <v>201</v>
      </c>
      <c r="C518" t="s">
        <v>505</v>
      </c>
      <c r="D518" t="s">
        <v>7</v>
      </c>
      <c r="E518" s="4">
        <v>44015</v>
      </c>
      <c r="F518" s="4">
        <v>45816</v>
      </c>
      <c r="G518">
        <v>64000708.049999997</v>
      </c>
    </row>
    <row r="519" spans="1:7" x14ac:dyDescent="0.45">
      <c r="A519" t="s">
        <v>539</v>
      </c>
      <c r="B519" t="s">
        <v>219</v>
      </c>
      <c r="C519" t="s">
        <v>389</v>
      </c>
      <c r="D519" t="s">
        <v>7</v>
      </c>
      <c r="E519" s="4">
        <v>44094</v>
      </c>
      <c r="F519" s="4">
        <v>45206</v>
      </c>
      <c r="G519">
        <v>459165024.13999999</v>
      </c>
    </row>
    <row r="520" spans="1:7" x14ac:dyDescent="0.45">
      <c r="A520" t="s">
        <v>540</v>
      </c>
      <c r="B520" t="s">
        <v>541</v>
      </c>
      <c r="C520" t="s">
        <v>542</v>
      </c>
      <c r="D520" t="s">
        <v>7</v>
      </c>
      <c r="E520" s="4">
        <v>44064</v>
      </c>
      <c r="F520" s="4">
        <v>45162</v>
      </c>
      <c r="G520">
        <v>152793152.28999999</v>
      </c>
    </row>
    <row r="521" spans="1:7" x14ac:dyDescent="0.45">
      <c r="A521" t="s">
        <v>543</v>
      </c>
      <c r="B521" t="s">
        <v>294</v>
      </c>
      <c r="C521" t="s">
        <v>270</v>
      </c>
      <c r="D521" t="s">
        <v>7</v>
      </c>
      <c r="E521" s="4">
        <v>45236</v>
      </c>
      <c r="F521" s="4">
        <v>47080</v>
      </c>
      <c r="G521">
        <v>1150204.6200000001</v>
      </c>
    </row>
    <row r="522" spans="1:7" x14ac:dyDescent="0.45">
      <c r="A522" t="s">
        <v>544</v>
      </c>
      <c r="B522" t="s">
        <v>234</v>
      </c>
      <c r="C522" t="s">
        <v>205</v>
      </c>
      <c r="D522" t="s">
        <v>7</v>
      </c>
      <c r="E522" s="4">
        <v>43715</v>
      </c>
      <c r="F522" s="4">
        <v>49169</v>
      </c>
      <c r="G522">
        <v>62779344.670000002</v>
      </c>
    </row>
    <row r="523" spans="1:7" x14ac:dyDescent="0.45">
      <c r="A523" t="s">
        <v>544</v>
      </c>
      <c r="B523" t="s">
        <v>234</v>
      </c>
      <c r="C523" t="s">
        <v>345</v>
      </c>
      <c r="D523" t="s">
        <v>7</v>
      </c>
      <c r="E523" s="4">
        <v>43715</v>
      </c>
      <c r="F523" s="4">
        <v>49169</v>
      </c>
      <c r="G523">
        <v>274994417.22000003</v>
      </c>
    </row>
    <row r="524" spans="1:7" x14ac:dyDescent="0.45">
      <c r="A524" t="s">
        <v>544</v>
      </c>
      <c r="B524" t="s">
        <v>234</v>
      </c>
      <c r="C524" t="s">
        <v>259</v>
      </c>
      <c r="D524" t="s">
        <v>7</v>
      </c>
      <c r="E524" s="4">
        <v>43715</v>
      </c>
      <c r="F524" s="4">
        <v>49169</v>
      </c>
      <c r="G524">
        <v>3147736.49</v>
      </c>
    </row>
    <row r="525" spans="1:7" x14ac:dyDescent="0.45">
      <c r="A525" t="s">
        <v>544</v>
      </c>
      <c r="B525" t="s">
        <v>234</v>
      </c>
      <c r="C525" t="s">
        <v>306</v>
      </c>
      <c r="D525" t="s">
        <v>7</v>
      </c>
      <c r="E525" s="4">
        <v>43715</v>
      </c>
      <c r="F525" s="4">
        <v>49169</v>
      </c>
      <c r="G525">
        <v>14952575.77</v>
      </c>
    </row>
    <row r="526" spans="1:7" x14ac:dyDescent="0.45">
      <c r="A526" t="s">
        <v>544</v>
      </c>
      <c r="B526" t="s">
        <v>234</v>
      </c>
      <c r="C526" t="s">
        <v>227</v>
      </c>
      <c r="D526" t="s">
        <v>7</v>
      </c>
      <c r="E526" s="4">
        <v>43715</v>
      </c>
      <c r="F526" s="4">
        <v>49169</v>
      </c>
      <c r="G526">
        <v>2580813.13</v>
      </c>
    </row>
    <row r="527" spans="1:7" x14ac:dyDescent="0.45">
      <c r="A527" t="s">
        <v>544</v>
      </c>
      <c r="B527" t="s">
        <v>234</v>
      </c>
      <c r="C527" t="s">
        <v>296</v>
      </c>
      <c r="D527" t="s">
        <v>7</v>
      </c>
      <c r="E527" s="4">
        <v>43715</v>
      </c>
      <c r="F527" s="4">
        <v>49169</v>
      </c>
      <c r="G527">
        <v>41203461.490000002</v>
      </c>
    </row>
    <row r="528" spans="1:7" x14ac:dyDescent="0.45">
      <c r="A528" t="s">
        <v>544</v>
      </c>
      <c r="B528" t="s">
        <v>234</v>
      </c>
      <c r="C528" t="s">
        <v>292</v>
      </c>
      <c r="D528" t="s">
        <v>7</v>
      </c>
      <c r="E528" s="4">
        <v>43715</v>
      </c>
      <c r="F528" s="4">
        <v>49169</v>
      </c>
      <c r="G528">
        <v>399910553.63999999</v>
      </c>
    </row>
    <row r="529" spans="1:7" x14ac:dyDescent="0.45">
      <c r="A529" t="s">
        <v>544</v>
      </c>
      <c r="B529" t="s">
        <v>234</v>
      </c>
      <c r="C529" t="s">
        <v>263</v>
      </c>
      <c r="D529" t="s">
        <v>7</v>
      </c>
      <c r="E529" s="4">
        <v>43715</v>
      </c>
      <c r="F529" s="4">
        <v>49169</v>
      </c>
      <c r="G529">
        <v>7596422.54</v>
      </c>
    </row>
    <row r="530" spans="1:7" x14ac:dyDescent="0.45">
      <c r="A530" t="s">
        <v>544</v>
      </c>
      <c r="B530" t="s">
        <v>234</v>
      </c>
      <c r="C530" t="s">
        <v>277</v>
      </c>
      <c r="D530" t="s">
        <v>7</v>
      </c>
      <c r="E530" s="4">
        <v>43715</v>
      </c>
      <c r="F530" s="4">
        <v>49169</v>
      </c>
      <c r="G530">
        <v>205179860.33000001</v>
      </c>
    </row>
    <row r="531" spans="1:7" x14ac:dyDescent="0.45">
      <c r="A531" t="s">
        <v>544</v>
      </c>
      <c r="B531" t="s">
        <v>234</v>
      </c>
      <c r="C531" t="s">
        <v>415</v>
      </c>
      <c r="D531" t="s">
        <v>7</v>
      </c>
      <c r="E531" s="4">
        <v>43715</v>
      </c>
      <c r="F531" s="4">
        <v>49169</v>
      </c>
      <c r="G531">
        <v>6647795.5</v>
      </c>
    </row>
    <row r="532" spans="1:7" x14ac:dyDescent="0.45">
      <c r="A532" t="s">
        <v>545</v>
      </c>
      <c r="B532" t="s">
        <v>404</v>
      </c>
      <c r="C532" t="s">
        <v>546</v>
      </c>
      <c r="D532" t="s">
        <v>7</v>
      </c>
      <c r="E532" s="4">
        <v>44264</v>
      </c>
      <c r="F532" s="4">
        <v>46116</v>
      </c>
      <c r="G532">
        <v>7067083.8799999999</v>
      </c>
    </row>
    <row r="533" spans="1:7" x14ac:dyDescent="0.45">
      <c r="A533" t="s">
        <v>547</v>
      </c>
      <c r="B533" t="s">
        <v>384</v>
      </c>
      <c r="C533" t="s">
        <v>337</v>
      </c>
      <c r="D533" t="s">
        <v>7</v>
      </c>
      <c r="E533" s="4">
        <v>43846</v>
      </c>
      <c r="F533" s="4">
        <v>44604</v>
      </c>
      <c r="G533">
        <v>96430793.090000004</v>
      </c>
    </row>
    <row r="534" spans="1:7" x14ac:dyDescent="0.45">
      <c r="A534" t="s">
        <v>548</v>
      </c>
      <c r="B534" t="s">
        <v>279</v>
      </c>
      <c r="C534" t="s">
        <v>207</v>
      </c>
      <c r="D534" t="s">
        <v>7</v>
      </c>
      <c r="E534" s="4">
        <v>43990</v>
      </c>
      <c r="F534" s="4">
        <v>44736</v>
      </c>
      <c r="G534">
        <v>17009836.300000001</v>
      </c>
    </row>
    <row r="535" spans="1:7" x14ac:dyDescent="0.45">
      <c r="A535" t="s">
        <v>549</v>
      </c>
      <c r="B535" t="s">
        <v>298</v>
      </c>
      <c r="C535" t="s">
        <v>550</v>
      </c>
      <c r="D535" t="s">
        <v>7</v>
      </c>
      <c r="E535" s="4">
        <v>44076</v>
      </c>
      <c r="F535" s="4">
        <v>47700</v>
      </c>
      <c r="G535">
        <v>8794290.0700000003</v>
      </c>
    </row>
    <row r="536" spans="1:7" x14ac:dyDescent="0.45">
      <c r="A536" t="s">
        <v>551</v>
      </c>
      <c r="B536" t="s">
        <v>308</v>
      </c>
      <c r="C536" t="s">
        <v>552</v>
      </c>
      <c r="D536" t="s">
        <v>7</v>
      </c>
      <c r="E536" s="4">
        <v>43970</v>
      </c>
      <c r="F536" s="4">
        <v>45812</v>
      </c>
      <c r="G536">
        <v>488743098.06</v>
      </c>
    </row>
    <row r="537" spans="1:7" x14ac:dyDescent="0.45">
      <c r="A537" t="s">
        <v>553</v>
      </c>
      <c r="B537" t="s">
        <v>245</v>
      </c>
      <c r="C537" t="s">
        <v>412</v>
      </c>
      <c r="D537" t="s">
        <v>7</v>
      </c>
      <c r="E537" s="4">
        <v>43844</v>
      </c>
      <c r="F537" s="4">
        <v>44213</v>
      </c>
      <c r="G537">
        <v>6723476.5599999996</v>
      </c>
    </row>
    <row r="538" spans="1:7" x14ac:dyDescent="0.45">
      <c r="A538" t="s">
        <v>554</v>
      </c>
      <c r="B538" t="s">
        <v>322</v>
      </c>
      <c r="C538" t="s">
        <v>361</v>
      </c>
      <c r="D538" t="s">
        <v>7</v>
      </c>
      <c r="E538" s="4">
        <v>45636</v>
      </c>
      <c r="F538" s="4">
        <v>46004</v>
      </c>
      <c r="G538">
        <v>4778342.58</v>
      </c>
    </row>
    <row r="539" spans="1:7" x14ac:dyDescent="0.45">
      <c r="A539" t="s">
        <v>555</v>
      </c>
      <c r="B539" t="s">
        <v>298</v>
      </c>
      <c r="C539" t="s">
        <v>211</v>
      </c>
      <c r="D539" t="s">
        <v>7</v>
      </c>
      <c r="E539" s="4">
        <v>44088</v>
      </c>
      <c r="F539" s="4">
        <v>45906</v>
      </c>
      <c r="G539">
        <v>9770993.1099999994</v>
      </c>
    </row>
    <row r="540" spans="1:7" x14ac:dyDescent="0.45">
      <c r="A540" t="s">
        <v>556</v>
      </c>
      <c r="B540" t="s">
        <v>322</v>
      </c>
      <c r="C540" t="s">
        <v>417</v>
      </c>
      <c r="D540" t="s">
        <v>7</v>
      </c>
      <c r="E540" s="4">
        <v>45201</v>
      </c>
      <c r="F540" s="4">
        <v>45909</v>
      </c>
      <c r="G540">
        <v>3625084.22</v>
      </c>
    </row>
    <row r="541" spans="1:7" x14ac:dyDescent="0.45">
      <c r="A541" t="s">
        <v>557</v>
      </c>
      <c r="B541" t="s">
        <v>376</v>
      </c>
      <c r="C541" t="s">
        <v>314</v>
      </c>
      <c r="D541" t="s">
        <v>7</v>
      </c>
      <c r="E541" s="4">
        <v>44417</v>
      </c>
      <c r="F541" s="4">
        <v>45177</v>
      </c>
      <c r="G541">
        <v>2225006.62</v>
      </c>
    </row>
    <row r="542" spans="1:7" x14ac:dyDescent="0.45">
      <c r="A542" t="s">
        <v>558</v>
      </c>
      <c r="B542" t="s">
        <v>304</v>
      </c>
      <c r="C542" t="s">
        <v>256</v>
      </c>
      <c r="D542" t="s">
        <v>7</v>
      </c>
      <c r="E542" s="4">
        <v>44610</v>
      </c>
      <c r="F542" s="4">
        <v>45359</v>
      </c>
      <c r="G542">
        <v>5067253.6900000004</v>
      </c>
    </row>
    <row r="543" spans="1:7" x14ac:dyDescent="0.45">
      <c r="A543" t="s">
        <v>559</v>
      </c>
      <c r="B543" t="s">
        <v>279</v>
      </c>
      <c r="C543" t="s">
        <v>389</v>
      </c>
      <c r="D543" t="s">
        <v>7</v>
      </c>
      <c r="E543" s="4">
        <v>45646</v>
      </c>
      <c r="F543" s="4">
        <v>46034</v>
      </c>
      <c r="G543">
        <v>2334914.1800000002</v>
      </c>
    </row>
    <row r="544" spans="1:7" x14ac:dyDescent="0.45">
      <c r="A544" t="s">
        <v>560</v>
      </c>
      <c r="B544" t="s">
        <v>504</v>
      </c>
      <c r="C544" t="s">
        <v>382</v>
      </c>
      <c r="D544" t="s">
        <v>7</v>
      </c>
      <c r="E544" s="4">
        <v>43681</v>
      </c>
      <c r="F544" s="4">
        <v>46214</v>
      </c>
      <c r="G544">
        <v>1107612.31</v>
      </c>
    </row>
    <row r="545" spans="1:7" x14ac:dyDescent="0.45">
      <c r="A545" t="s">
        <v>560</v>
      </c>
      <c r="B545" t="s">
        <v>504</v>
      </c>
      <c r="C545" t="s">
        <v>405</v>
      </c>
      <c r="D545" t="s">
        <v>7</v>
      </c>
      <c r="E545" s="4">
        <v>43681</v>
      </c>
      <c r="F545" s="4">
        <v>46214</v>
      </c>
      <c r="G545">
        <v>43501576.939999998</v>
      </c>
    </row>
    <row r="546" spans="1:7" x14ac:dyDescent="0.45">
      <c r="A546" t="s">
        <v>560</v>
      </c>
      <c r="B546" t="s">
        <v>504</v>
      </c>
      <c r="C546" t="s">
        <v>309</v>
      </c>
      <c r="D546" t="s">
        <v>7</v>
      </c>
      <c r="E546" s="4">
        <v>43681</v>
      </c>
      <c r="F546" s="4">
        <v>46214</v>
      </c>
      <c r="G546">
        <v>6240914.21</v>
      </c>
    </row>
    <row r="547" spans="1:7" x14ac:dyDescent="0.45">
      <c r="A547" t="s">
        <v>560</v>
      </c>
      <c r="B547" t="s">
        <v>504</v>
      </c>
      <c r="C547" t="s">
        <v>431</v>
      </c>
      <c r="D547" t="s">
        <v>7</v>
      </c>
      <c r="E547" s="4">
        <v>43681</v>
      </c>
      <c r="F547" s="4">
        <v>46214</v>
      </c>
      <c r="G547">
        <v>1580248.32</v>
      </c>
    </row>
    <row r="548" spans="1:7" x14ac:dyDescent="0.45">
      <c r="A548" t="s">
        <v>560</v>
      </c>
      <c r="B548" t="s">
        <v>504</v>
      </c>
      <c r="C548" t="s">
        <v>9</v>
      </c>
      <c r="D548" t="s">
        <v>7</v>
      </c>
      <c r="E548" s="4">
        <v>43681</v>
      </c>
      <c r="F548" s="4">
        <v>46214</v>
      </c>
      <c r="G548">
        <v>9145701.7300000004</v>
      </c>
    </row>
    <row r="549" spans="1:7" x14ac:dyDescent="0.45">
      <c r="A549" t="s">
        <v>561</v>
      </c>
      <c r="B549" t="s">
        <v>408</v>
      </c>
      <c r="C549" t="s">
        <v>368</v>
      </c>
      <c r="D549" t="s">
        <v>7</v>
      </c>
      <c r="E549" s="4">
        <v>45134</v>
      </c>
      <c r="F549" s="4">
        <v>46960</v>
      </c>
      <c r="G549">
        <v>241577301.06999999</v>
      </c>
    </row>
    <row r="550" spans="1:7" x14ac:dyDescent="0.45">
      <c r="A550" t="s">
        <v>562</v>
      </c>
      <c r="B550" t="s">
        <v>213</v>
      </c>
      <c r="C550" t="s">
        <v>526</v>
      </c>
      <c r="D550" t="s">
        <v>7</v>
      </c>
      <c r="E550" s="4">
        <v>43850</v>
      </c>
      <c r="F550" s="4">
        <v>44930</v>
      </c>
      <c r="G550">
        <v>3655946.47</v>
      </c>
    </row>
    <row r="551" spans="1:7" x14ac:dyDescent="0.45">
      <c r="A551" t="s">
        <v>563</v>
      </c>
      <c r="B551" t="s">
        <v>322</v>
      </c>
      <c r="C551" t="s">
        <v>424</v>
      </c>
      <c r="D551" t="s">
        <v>7</v>
      </c>
      <c r="E551" s="4">
        <v>44672</v>
      </c>
      <c r="F551" s="4">
        <v>47230</v>
      </c>
      <c r="G551">
        <v>417938497.72000003</v>
      </c>
    </row>
    <row r="552" spans="1:7" x14ac:dyDescent="0.45">
      <c r="A552" t="s">
        <v>564</v>
      </c>
      <c r="B552" t="s">
        <v>404</v>
      </c>
      <c r="C552" t="s">
        <v>438</v>
      </c>
      <c r="D552" t="s">
        <v>7</v>
      </c>
      <c r="E552" s="4">
        <v>44830</v>
      </c>
      <c r="F552" s="4">
        <v>45953</v>
      </c>
      <c r="G552">
        <v>5521539.2999999998</v>
      </c>
    </row>
    <row r="553" spans="1:7" x14ac:dyDescent="0.45">
      <c r="A553" t="s">
        <v>565</v>
      </c>
      <c r="B553" t="s">
        <v>210</v>
      </c>
      <c r="C553" t="s">
        <v>277</v>
      </c>
      <c r="D553" t="s">
        <v>7</v>
      </c>
      <c r="E553" s="4">
        <v>43694</v>
      </c>
      <c r="F553" s="4">
        <v>44431</v>
      </c>
      <c r="G553">
        <v>9765818.7599999998</v>
      </c>
    </row>
    <row r="554" spans="1:7" x14ac:dyDescent="0.45">
      <c r="A554" t="s">
        <v>566</v>
      </c>
      <c r="B554" t="s">
        <v>245</v>
      </c>
      <c r="C554" t="s">
        <v>257</v>
      </c>
      <c r="D554" t="s">
        <v>7</v>
      </c>
      <c r="E554" s="4">
        <v>44132</v>
      </c>
      <c r="F554" s="4">
        <v>49601</v>
      </c>
      <c r="G554">
        <v>9416854.2899999991</v>
      </c>
    </row>
    <row r="555" spans="1:7" x14ac:dyDescent="0.45">
      <c r="A555" t="s">
        <v>567</v>
      </c>
      <c r="B555" t="s">
        <v>404</v>
      </c>
      <c r="C555" t="s">
        <v>438</v>
      </c>
      <c r="D555" t="s">
        <v>7</v>
      </c>
      <c r="E555" s="4">
        <v>44949</v>
      </c>
      <c r="F555" s="4">
        <v>46804</v>
      </c>
      <c r="G555">
        <v>175293465.96000001</v>
      </c>
    </row>
    <row r="556" spans="1:7" x14ac:dyDescent="0.45">
      <c r="A556" t="s">
        <v>568</v>
      </c>
      <c r="B556" t="s">
        <v>569</v>
      </c>
      <c r="C556" t="s">
        <v>520</v>
      </c>
      <c r="D556" t="s">
        <v>7</v>
      </c>
      <c r="E556" s="4">
        <v>45052</v>
      </c>
      <c r="F556" s="4">
        <v>46122</v>
      </c>
      <c r="G556">
        <v>3093610.22</v>
      </c>
    </row>
    <row r="557" spans="1:7" x14ac:dyDescent="0.45">
      <c r="A557" t="s">
        <v>570</v>
      </c>
      <c r="B557" t="s">
        <v>279</v>
      </c>
      <c r="C557" t="s">
        <v>536</v>
      </c>
      <c r="D557" t="s">
        <v>7</v>
      </c>
      <c r="E557" s="4">
        <v>44005</v>
      </c>
      <c r="F557" s="4">
        <v>44391</v>
      </c>
      <c r="G557">
        <v>1536003.67</v>
      </c>
    </row>
    <row r="558" spans="1:7" x14ac:dyDescent="0.45">
      <c r="A558" t="s">
        <v>571</v>
      </c>
      <c r="B558" t="s">
        <v>230</v>
      </c>
      <c r="C558" t="s">
        <v>270</v>
      </c>
      <c r="D558" t="s">
        <v>7</v>
      </c>
      <c r="E558" s="4">
        <v>43914</v>
      </c>
      <c r="F558" s="4">
        <v>47584</v>
      </c>
      <c r="G558">
        <v>169681068.38</v>
      </c>
    </row>
    <row r="559" spans="1:7" x14ac:dyDescent="0.45">
      <c r="A559" t="s">
        <v>571</v>
      </c>
      <c r="B559" t="s">
        <v>230</v>
      </c>
      <c r="C559" t="s">
        <v>505</v>
      </c>
      <c r="D559" t="s">
        <v>7</v>
      </c>
      <c r="E559" s="4">
        <v>43914</v>
      </c>
      <c r="F559" s="4">
        <v>47584</v>
      </c>
      <c r="G559">
        <v>7242043.5800000001</v>
      </c>
    </row>
    <row r="560" spans="1:7" x14ac:dyDescent="0.45">
      <c r="A560" t="s">
        <v>571</v>
      </c>
      <c r="B560" t="s">
        <v>230</v>
      </c>
      <c r="C560" t="s">
        <v>387</v>
      </c>
      <c r="D560" t="s">
        <v>7</v>
      </c>
      <c r="E560" s="4">
        <v>43914</v>
      </c>
      <c r="F560" s="4">
        <v>47584</v>
      </c>
      <c r="G560">
        <v>25781646.699999999</v>
      </c>
    </row>
    <row r="561" spans="1:7" x14ac:dyDescent="0.45">
      <c r="A561" t="s">
        <v>571</v>
      </c>
      <c r="B561" t="s">
        <v>230</v>
      </c>
      <c r="C561" t="s">
        <v>414</v>
      </c>
      <c r="D561" t="s">
        <v>7</v>
      </c>
      <c r="E561" s="4">
        <v>43914</v>
      </c>
      <c r="F561" s="4">
        <v>47584</v>
      </c>
      <c r="G561">
        <v>479515241.69</v>
      </c>
    </row>
    <row r="562" spans="1:7" x14ac:dyDescent="0.45">
      <c r="A562" t="s">
        <v>571</v>
      </c>
      <c r="B562" t="s">
        <v>230</v>
      </c>
      <c r="C562" t="s">
        <v>248</v>
      </c>
      <c r="D562" t="s">
        <v>7</v>
      </c>
      <c r="E562" s="4">
        <v>43914</v>
      </c>
      <c r="F562" s="4">
        <v>47584</v>
      </c>
      <c r="G562">
        <v>4524412.8499999996</v>
      </c>
    </row>
    <row r="563" spans="1:7" x14ac:dyDescent="0.45">
      <c r="A563" t="s">
        <v>571</v>
      </c>
      <c r="B563" t="s">
        <v>230</v>
      </c>
      <c r="C563" t="s">
        <v>416</v>
      </c>
      <c r="D563" t="s">
        <v>7</v>
      </c>
      <c r="E563" s="4">
        <v>43914</v>
      </c>
      <c r="F563" s="4">
        <v>47584</v>
      </c>
      <c r="G563">
        <v>6421498.0099999998</v>
      </c>
    </row>
    <row r="564" spans="1:7" x14ac:dyDescent="0.45">
      <c r="A564" t="s">
        <v>571</v>
      </c>
      <c r="B564" t="s">
        <v>230</v>
      </c>
      <c r="C564" t="s">
        <v>389</v>
      </c>
      <c r="D564" t="s">
        <v>7</v>
      </c>
      <c r="E564" s="4">
        <v>43914</v>
      </c>
      <c r="F564" s="4">
        <v>47584</v>
      </c>
      <c r="G564">
        <v>94301901.420000002</v>
      </c>
    </row>
    <row r="565" spans="1:7" x14ac:dyDescent="0.45">
      <c r="A565" t="s">
        <v>571</v>
      </c>
      <c r="B565" t="s">
        <v>230</v>
      </c>
      <c r="C565" t="s">
        <v>348</v>
      </c>
      <c r="D565" t="s">
        <v>7</v>
      </c>
      <c r="E565" s="4">
        <v>43914</v>
      </c>
      <c r="F565" s="4">
        <v>47584</v>
      </c>
      <c r="G565">
        <v>167154966.69999999</v>
      </c>
    </row>
    <row r="566" spans="1:7" x14ac:dyDescent="0.45">
      <c r="A566" t="s">
        <v>572</v>
      </c>
      <c r="B566" t="s">
        <v>522</v>
      </c>
      <c r="C566" t="s">
        <v>360</v>
      </c>
      <c r="D566" t="s">
        <v>7</v>
      </c>
      <c r="E566" s="4">
        <v>45293</v>
      </c>
      <c r="F566" s="4">
        <v>46039</v>
      </c>
      <c r="G566">
        <v>9721916.4299999997</v>
      </c>
    </row>
    <row r="567" spans="1:7" x14ac:dyDescent="0.45">
      <c r="A567" t="s">
        <v>572</v>
      </c>
      <c r="B567" t="s">
        <v>522</v>
      </c>
      <c r="C567" t="s">
        <v>526</v>
      </c>
      <c r="D567" t="s">
        <v>7</v>
      </c>
      <c r="E567" s="4">
        <v>45293</v>
      </c>
      <c r="F567" s="4">
        <v>46039</v>
      </c>
      <c r="G567">
        <v>291795700.16000003</v>
      </c>
    </row>
    <row r="568" spans="1:7" x14ac:dyDescent="0.45">
      <c r="A568" t="s">
        <v>572</v>
      </c>
      <c r="B568" t="s">
        <v>522</v>
      </c>
      <c r="C568" t="s">
        <v>471</v>
      </c>
      <c r="D568" t="s">
        <v>7</v>
      </c>
      <c r="E568" s="4">
        <v>45293</v>
      </c>
      <c r="F568" s="4">
        <v>46039</v>
      </c>
      <c r="G568">
        <v>6858726.0700000003</v>
      </c>
    </row>
    <row r="569" spans="1:7" x14ac:dyDescent="0.45">
      <c r="A569" t="s">
        <v>572</v>
      </c>
      <c r="B569" t="s">
        <v>522</v>
      </c>
      <c r="C569" t="s">
        <v>223</v>
      </c>
      <c r="D569" t="s">
        <v>7</v>
      </c>
      <c r="E569" s="4">
        <v>45293</v>
      </c>
      <c r="F569" s="4">
        <v>46039</v>
      </c>
      <c r="G569">
        <v>227486763.18000001</v>
      </c>
    </row>
    <row r="570" spans="1:7" x14ac:dyDescent="0.45">
      <c r="A570" t="s">
        <v>572</v>
      </c>
      <c r="B570" t="s">
        <v>522</v>
      </c>
      <c r="C570" t="s">
        <v>506</v>
      </c>
      <c r="D570" t="s">
        <v>7</v>
      </c>
      <c r="E570" s="4">
        <v>45293</v>
      </c>
      <c r="F570" s="4">
        <v>46039</v>
      </c>
      <c r="G570">
        <v>25309468.280000001</v>
      </c>
    </row>
    <row r="571" spans="1:7" x14ac:dyDescent="0.45">
      <c r="A571" t="s">
        <v>572</v>
      </c>
      <c r="B571" t="s">
        <v>522</v>
      </c>
      <c r="C571" t="s">
        <v>9</v>
      </c>
      <c r="D571" t="s">
        <v>7</v>
      </c>
      <c r="E571" s="4">
        <v>45293</v>
      </c>
      <c r="F571" s="4">
        <v>46039</v>
      </c>
      <c r="G571">
        <v>90831175.579999998</v>
      </c>
    </row>
    <row r="572" spans="1:7" x14ac:dyDescent="0.45">
      <c r="A572" t="s">
        <v>572</v>
      </c>
      <c r="B572" t="s">
        <v>522</v>
      </c>
      <c r="C572" t="s">
        <v>439</v>
      </c>
      <c r="D572" t="s">
        <v>7</v>
      </c>
      <c r="E572" s="4">
        <v>45293</v>
      </c>
      <c r="F572" s="4">
        <v>46039</v>
      </c>
      <c r="G572">
        <v>112397281.62</v>
      </c>
    </row>
    <row r="573" spans="1:7" x14ac:dyDescent="0.45">
      <c r="A573" t="s">
        <v>572</v>
      </c>
      <c r="B573" t="s">
        <v>522</v>
      </c>
      <c r="C573" t="s">
        <v>573</v>
      </c>
      <c r="D573" t="s">
        <v>7</v>
      </c>
      <c r="E573" s="4">
        <v>45293</v>
      </c>
      <c r="F573" s="4">
        <v>46039</v>
      </c>
      <c r="G573">
        <v>2484974.75</v>
      </c>
    </row>
    <row r="574" spans="1:7" x14ac:dyDescent="0.45">
      <c r="A574" t="s">
        <v>572</v>
      </c>
      <c r="B574" t="s">
        <v>522</v>
      </c>
      <c r="C574" t="s">
        <v>370</v>
      </c>
      <c r="D574" t="s">
        <v>7</v>
      </c>
      <c r="E574" s="4">
        <v>45293</v>
      </c>
      <c r="F574" s="4">
        <v>46039</v>
      </c>
      <c r="G574">
        <v>27098583.18</v>
      </c>
    </row>
    <row r="575" spans="1:7" x14ac:dyDescent="0.45">
      <c r="A575" t="s">
        <v>572</v>
      </c>
      <c r="B575" t="s">
        <v>522</v>
      </c>
      <c r="C575" t="s">
        <v>472</v>
      </c>
      <c r="D575" t="s">
        <v>7</v>
      </c>
      <c r="E575" s="4">
        <v>45293</v>
      </c>
      <c r="F575" s="4">
        <v>46039</v>
      </c>
      <c r="G575">
        <v>7569766.0499999998</v>
      </c>
    </row>
    <row r="576" spans="1:7" x14ac:dyDescent="0.45">
      <c r="A576" t="s">
        <v>574</v>
      </c>
      <c r="B576" t="s">
        <v>408</v>
      </c>
      <c r="C576" t="s">
        <v>327</v>
      </c>
      <c r="D576" t="s">
        <v>7</v>
      </c>
      <c r="E576" s="4">
        <v>45616</v>
      </c>
      <c r="F576" s="4">
        <v>46687</v>
      </c>
      <c r="G576">
        <v>67437159.319999993</v>
      </c>
    </row>
    <row r="577" spans="1:7" x14ac:dyDescent="0.45">
      <c r="A577" t="s">
        <v>574</v>
      </c>
      <c r="B577" t="s">
        <v>408</v>
      </c>
      <c r="C577" t="s">
        <v>263</v>
      </c>
      <c r="D577" t="s">
        <v>7</v>
      </c>
      <c r="E577" s="4">
        <v>45616</v>
      </c>
      <c r="F577" s="4">
        <v>46687</v>
      </c>
      <c r="G577">
        <v>288377781.18000001</v>
      </c>
    </row>
    <row r="578" spans="1:7" x14ac:dyDescent="0.45">
      <c r="A578" t="s">
        <v>574</v>
      </c>
      <c r="B578" t="s">
        <v>408</v>
      </c>
      <c r="C578" t="s">
        <v>341</v>
      </c>
      <c r="D578" t="s">
        <v>7</v>
      </c>
      <c r="E578" s="4">
        <v>45616</v>
      </c>
      <c r="F578" s="4">
        <v>46687</v>
      </c>
      <c r="G578">
        <v>3385039.57</v>
      </c>
    </row>
    <row r="579" spans="1:7" x14ac:dyDescent="0.45">
      <c r="A579" t="s">
        <v>574</v>
      </c>
      <c r="B579" t="s">
        <v>408</v>
      </c>
      <c r="C579" t="s">
        <v>320</v>
      </c>
      <c r="D579" t="s">
        <v>7</v>
      </c>
      <c r="E579" s="4">
        <v>45616</v>
      </c>
      <c r="F579" s="4">
        <v>46687</v>
      </c>
      <c r="G579">
        <v>26792464.699999999</v>
      </c>
    </row>
    <row r="580" spans="1:7" x14ac:dyDescent="0.45">
      <c r="A580" t="s">
        <v>574</v>
      </c>
      <c r="B580" t="s">
        <v>408</v>
      </c>
      <c r="C580" t="s">
        <v>232</v>
      </c>
      <c r="D580" t="s">
        <v>7</v>
      </c>
      <c r="E580" s="4">
        <v>45616</v>
      </c>
      <c r="F580" s="4">
        <v>46687</v>
      </c>
      <c r="G580">
        <v>3370607.29</v>
      </c>
    </row>
    <row r="581" spans="1:7" x14ac:dyDescent="0.45">
      <c r="A581" t="s">
        <v>574</v>
      </c>
      <c r="B581" t="s">
        <v>408</v>
      </c>
      <c r="C581" t="s">
        <v>267</v>
      </c>
      <c r="D581" t="s">
        <v>7</v>
      </c>
      <c r="E581" s="4">
        <v>45616</v>
      </c>
      <c r="F581" s="4">
        <v>46687</v>
      </c>
      <c r="G581">
        <v>18703235.890000001</v>
      </c>
    </row>
    <row r="582" spans="1:7" x14ac:dyDescent="0.45">
      <c r="A582" t="s">
        <v>574</v>
      </c>
      <c r="B582" t="s">
        <v>408</v>
      </c>
      <c r="C582" t="s">
        <v>575</v>
      </c>
      <c r="D582" t="s">
        <v>7</v>
      </c>
      <c r="E582" s="4">
        <v>45616</v>
      </c>
      <c r="F582" s="4">
        <v>46687</v>
      </c>
      <c r="G582">
        <v>4725879.88</v>
      </c>
    </row>
    <row r="583" spans="1:7" x14ac:dyDescent="0.45">
      <c r="A583" t="s">
        <v>574</v>
      </c>
      <c r="B583" t="s">
        <v>408</v>
      </c>
      <c r="C583" t="s">
        <v>374</v>
      </c>
      <c r="D583" t="s">
        <v>7</v>
      </c>
      <c r="E583" s="4">
        <v>45616</v>
      </c>
      <c r="F583" s="4">
        <v>46687</v>
      </c>
      <c r="G583">
        <v>57032404.600000001</v>
      </c>
    </row>
    <row r="584" spans="1:7" x14ac:dyDescent="0.45">
      <c r="A584" t="s">
        <v>576</v>
      </c>
      <c r="B584" t="s">
        <v>237</v>
      </c>
      <c r="C584" t="s">
        <v>251</v>
      </c>
      <c r="D584" t="s">
        <v>7</v>
      </c>
      <c r="E584" s="4">
        <v>44684</v>
      </c>
      <c r="F584" s="4">
        <v>45438</v>
      </c>
      <c r="G584">
        <v>61409794.170000002</v>
      </c>
    </row>
    <row r="585" spans="1:7" x14ac:dyDescent="0.45">
      <c r="A585" t="s">
        <v>577</v>
      </c>
      <c r="B585" t="s">
        <v>304</v>
      </c>
      <c r="C585" t="s">
        <v>6</v>
      </c>
      <c r="D585" t="s">
        <v>7</v>
      </c>
      <c r="E585" s="4">
        <v>43683</v>
      </c>
      <c r="F585" s="4">
        <v>47313</v>
      </c>
      <c r="G585">
        <v>269349959.73000002</v>
      </c>
    </row>
    <row r="586" spans="1:7" x14ac:dyDescent="0.45">
      <c r="A586" t="s">
        <v>578</v>
      </c>
      <c r="B586" t="s">
        <v>294</v>
      </c>
      <c r="C586" t="s">
        <v>6</v>
      </c>
      <c r="D586" t="s">
        <v>7</v>
      </c>
      <c r="E586" s="4">
        <v>45057</v>
      </c>
      <c r="F586" s="4">
        <v>48735</v>
      </c>
      <c r="G586">
        <v>320821676.63</v>
      </c>
    </row>
    <row r="587" spans="1:7" x14ac:dyDescent="0.45">
      <c r="A587" t="s">
        <v>579</v>
      </c>
      <c r="B587" t="s">
        <v>504</v>
      </c>
      <c r="C587" t="s">
        <v>337</v>
      </c>
      <c r="D587" t="s">
        <v>7</v>
      </c>
      <c r="E587" s="4">
        <v>45584</v>
      </c>
      <c r="F587" s="4">
        <v>46675</v>
      </c>
      <c r="G587">
        <v>23337976.719999999</v>
      </c>
    </row>
    <row r="588" spans="1:7" x14ac:dyDescent="0.45">
      <c r="A588" t="s">
        <v>580</v>
      </c>
      <c r="B588" t="s">
        <v>245</v>
      </c>
      <c r="C588" t="s">
        <v>472</v>
      </c>
      <c r="D588" t="s">
        <v>7</v>
      </c>
      <c r="E588" s="4">
        <v>44983</v>
      </c>
      <c r="F588" s="4">
        <v>45717</v>
      </c>
      <c r="G588">
        <v>33772296.719999999</v>
      </c>
    </row>
    <row r="589" spans="1:7" x14ac:dyDescent="0.45">
      <c r="A589" t="s">
        <v>581</v>
      </c>
      <c r="B589" t="s">
        <v>266</v>
      </c>
      <c r="C589" t="s">
        <v>382</v>
      </c>
      <c r="D589" t="s">
        <v>7</v>
      </c>
      <c r="E589" s="4">
        <v>44382</v>
      </c>
      <c r="F589" s="4">
        <v>45490</v>
      </c>
      <c r="G589">
        <v>45621346.979999997</v>
      </c>
    </row>
    <row r="590" spans="1:7" x14ac:dyDescent="0.45">
      <c r="A590" t="s">
        <v>582</v>
      </c>
      <c r="B590" t="s">
        <v>332</v>
      </c>
      <c r="C590" t="s">
        <v>351</v>
      </c>
      <c r="D590" t="s">
        <v>7</v>
      </c>
      <c r="E590" s="4">
        <v>45600</v>
      </c>
      <c r="F590" s="4">
        <v>51059</v>
      </c>
      <c r="G590">
        <v>3704324.03</v>
      </c>
    </row>
    <row r="591" spans="1:7" x14ac:dyDescent="0.45">
      <c r="A591" t="s">
        <v>582</v>
      </c>
      <c r="B591" t="s">
        <v>332</v>
      </c>
      <c r="C591" t="s">
        <v>387</v>
      </c>
      <c r="D591" t="s">
        <v>7</v>
      </c>
      <c r="E591" s="4">
        <v>45600</v>
      </c>
      <c r="F591" s="4">
        <v>51059</v>
      </c>
      <c r="G591">
        <v>64448121.920000002</v>
      </c>
    </row>
    <row r="592" spans="1:7" x14ac:dyDescent="0.45">
      <c r="A592" t="s">
        <v>582</v>
      </c>
      <c r="B592" t="s">
        <v>332</v>
      </c>
      <c r="C592" t="s">
        <v>350</v>
      </c>
      <c r="D592" t="s">
        <v>7</v>
      </c>
      <c r="E592" s="4">
        <v>45600</v>
      </c>
      <c r="F592" s="4">
        <v>51059</v>
      </c>
      <c r="G592">
        <v>46645332.479999997</v>
      </c>
    </row>
    <row r="593" spans="1:7" x14ac:dyDescent="0.45">
      <c r="A593" t="s">
        <v>582</v>
      </c>
      <c r="B593" t="s">
        <v>332</v>
      </c>
      <c r="C593" t="s">
        <v>416</v>
      </c>
      <c r="D593" t="s">
        <v>7</v>
      </c>
      <c r="E593" s="4">
        <v>45600</v>
      </c>
      <c r="F593" s="4">
        <v>51059</v>
      </c>
      <c r="G593">
        <v>4365191.8899999997</v>
      </c>
    </row>
    <row r="594" spans="1:7" x14ac:dyDescent="0.45">
      <c r="A594" t="s">
        <v>582</v>
      </c>
      <c r="B594" t="s">
        <v>332</v>
      </c>
      <c r="C594" t="s">
        <v>389</v>
      </c>
      <c r="D594" t="s">
        <v>7</v>
      </c>
      <c r="E594" s="4">
        <v>45600</v>
      </c>
      <c r="F594" s="4">
        <v>51059</v>
      </c>
      <c r="G594">
        <v>46304662.689999998</v>
      </c>
    </row>
    <row r="595" spans="1:7" x14ac:dyDescent="0.45">
      <c r="A595" t="s">
        <v>582</v>
      </c>
      <c r="B595" t="s">
        <v>332</v>
      </c>
      <c r="C595" t="s">
        <v>415</v>
      </c>
      <c r="D595" t="s">
        <v>7</v>
      </c>
      <c r="E595" s="4">
        <v>45600</v>
      </c>
      <c r="F595" s="4">
        <v>51059</v>
      </c>
      <c r="G595">
        <v>6118050.7000000002</v>
      </c>
    </row>
    <row r="596" spans="1:7" x14ac:dyDescent="0.45">
      <c r="A596" t="s">
        <v>582</v>
      </c>
      <c r="B596" t="s">
        <v>332</v>
      </c>
      <c r="C596" t="s">
        <v>277</v>
      </c>
      <c r="D596" t="s">
        <v>7</v>
      </c>
      <c r="E596" s="4">
        <v>45600</v>
      </c>
      <c r="F596" s="4">
        <v>51059</v>
      </c>
      <c r="G596">
        <v>1518647.64</v>
      </c>
    </row>
    <row r="597" spans="1:7" x14ac:dyDescent="0.45">
      <c r="A597" t="s">
        <v>582</v>
      </c>
      <c r="B597" t="s">
        <v>332</v>
      </c>
      <c r="C597" t="s">
        <v>327</v>
      </c>
      <c r="D597" t="s">
        <v>7</v>
      </c>
      <c r="E597" s="4">
        <v>45600</v>
      </c>
      <c r="F597" s="4">
        <v>51059</v>
      </c>
      <c r="G597">
        <v>2791987.95</v>
      </c>
    </row>
    <row r="598" spans="1:7" x14ac:dyDescent="0.45">
      <c r="A598" t="s">
        <v>583</v>
      </c>
      <c r="B598" t="s">
        <v>465</v>
      </c>
      <c r="C598" t="s">
        <v>405</v>
      </c>
      <c r="D598" t="s">
        <v>7</v>
      </c>
      <c r="E598" s="4">
        <v>43998</v>
      </c>
      <c r="F598" s="4">
        <v>45074</v>
      </c>
      <c r="G598">
        <v>165405445.81</v>
      </c>
    </row>
    <row r="599" spans="1:7" x14ac:dyDescent="0.45">
      <c r="A599" t="s">
        <v>584</v>
      </c>
      <c r="B599" t="s">
        <v>404</v>
      </c>
      <c r="C599" t="s">
        <v>349</v>
      </c>
      <c r="D599" t="s">
        <v>7</v>
      </c>
      <c r="E599" s="4">
        <v>44209</v>
      </c>
      <c r="F599" s="4">
        <v>44598</v>
      </c>
      <c r="G599">
        <v>8018471.2199999997</v>
      </c>
    </row>
    <row r="600" spans="1:7" x14ac:dyDescent="0.45">
      <c r="A600" t="s">
        <v>585</v>
      </c>
      <c r="B600" t="s">
        <v>335</v>
      </c>
      <c r="C600" t="s">
        <v>391</v>
      </c>
      <c r="D600" t="s">
        <v>7</v>
      </c>
      <c r="E600" s="4">
        <v>44954</v>
      </c>
      <c r="F600" s="4">
        <v>46798</v>
      </c>
      <c r="G600">
        <v>92036389.420000002</v>
      </c>
    </row>
    <row r="601" spans="1:7" x14ac:dyDescent="0.45">
      <c r="A601" t="s">
        <v>586</v>
      </c>
      <c r="B601" t="s">
        <v>381</v>
      </c>
      <c r="C601" t="s">
        <v>269</v>
      </c>
      <c r="D601" t="s">
        <v>7</v>
      </c>
      <c r="E601" s="4">
        <v>44688</v>
      </c>
      <c r="F601" s="4">
        <v>45796</v>
      </c>
      <c r="G601">
        <v>45743728.600000001</v>
      </c>
    </row>
    <row r="602" spans="1:7" x14ac:dyDescent="0.45">
      <c r="A602" t="s">
        <v>586</v>
      </c>
      <c r="B602" t="s">
        <v>381</v>
      </c>
      <c r="C602" t="s">
        <v>13</v>
      </c>
      <c r="D602" t="s">
        <v>7</v>
      </c>
      <c r="E602" s="4">
        <v>44688</v>
      </c>
      <c r="F602" s="4">
        <v>45796</v>
      </c>
      <c r="G602">
        <v>85895555.510000005</v>
      </c>
    </row>
    <row r="603" spans="1:7" x14ac:dyDescent="0.45">
      <c r="A603" t="s">
        <v>586</v>
      </c>
      <c r="B603" t="s">
        <v>381</v>
      </c>
      <c r="C603" t="s">
        <v>227</v>
      </c>
      <c r="D603" t="s">
        <v>7</v>
      </c>
      <c r="E603" s="4">
        <v>44688</v>
      </c>
      <c r="F603" s="4">
        <v>45796</v>
      </c>
      <c r="G603">
        <v>6481450.9400000004</v>
      </c>
    </row>
    <row r="604" spans="1:7" x14ac:dyDescent="0.45">
      <c r="A604" t="s">
        <v>586</v>
      </c>
      <c r="B604" t="s">
        <v>381</v>
      </c>
      <c r="C604" t="s">
        <v>361</v>
      </c>
      <c r="D604" t="s">
        <v>7</v>
      </c>
      <c r="E604" s="4">
        <v>44688</v>
      </c>
      <c r="F604" s="4">
        <v>45796</v>
      </c>
      <c r="G604">
        <v>9895248.6899999995</v>
      </c>
    </row>
    <row r="605" spans="1:7" x14ac:dyDescent="0.45">
      <c r="A605" t="s">
        <v>586</v>
      </c>
      <c r="B605" t="s">
        <v>381</v>
      </c>
      <c r="C605" t="s">
        <v>573</v>
      </c>
      <c r="D605" t="s">
        <v>7</v>
      </c>
      <c r="E605" s="4">
        <v>44688</v>
      </c>
      <c r="F605" s="4">
        <v>45796</v>
      </c>
      <c r="G605">
        <v>7399843.9800000004</v>
      </c>
    </row>
    <row r="606" spans="1:7" x14ac:dyDescent="0.45">
      <c r="A606" t="s">
        <v>587</v>
      </c>
      <c r="B606" t="s">
        <v>319</v>
      </c>
      <c r="C606" t="s">
        <v>257</v>
      </c>
      <c r="D606" t="s">
        <v>7</v>
      </c>
      <c r="E606" s="4">
        <v>45129</v>
      </c>
      <c r="F606" s="4">
        <v>45837</v>
      </c>
      <c r="G606">
        <v>218241853.30000001</v>
      </c>
    </row>
    <row r="607" spans="1:7" x14ac:dyDescent="0.45">
      <c r="A607" t="s">
        <v>588</v>
      </c>
      <c r="B607" t="s">
        <v>319</v>
      </c>
      <c r="C607" t="s">
        <v>589</v>
      </c>
      <c r="D607" t="s">
        <v>7</v>
      </c>
      <c r="E607" s="4">
        <v>45279</v>
      </c>
      <c r="F607" s="4">
        <v>47825</v>
      </c>
      <c r="G607">
        <v>71768629.980000004</v>
      </c>
    </row>
    <row r="608" spans="1:7" x14ac:dyDescent="0.45">
      <c r="A608" t="s">
        <v>590</v>
      </c>
      <c r="B608" t="s">
        <v>239</v>
      </c>
      <c r="C608" t="s">
        <v>438</v>
      </c>
      <c r="D608" t="s">
        <v>7</v>
      </c>
      <c r="E608" s="4">
        <v>45074</v>
      </c>
      <c r="F608" s="4">
        <v>45451</v>
      </c>
      <c r="G608">
        <v>2630222.7200000002</v>
      </c>
    </row>
    <row r="609" spans="1:7" x14ac:dyDescent="0.45">
      <c r="A609" t="s">
        <v>591</v>
      </c>
      <c r="B609" t="s">
        <v>210</v>
      </c>
      <c r="C609" t="s">
        <v>311</v>
      </c>
      <c r="D609" t="s">
        <v>7</v>
      </c>
      <c r="E609" s="4">
        <v>45464</v>
      </c>
      <c r="F609" s="4">
        <v>45821</v>
      </c>
      <c r="G609">
        <v>7697889.3600000003</v>
      </c>
    </row>
    <row r="610" spans="1:7" x14ac:dyDescent="0.45">
      <c r="A610" t="s">
        <v>592</v>
      </c>
      <c r="B610" t="s">
        <v>330</v>
      </c>
      <c r="C610" t="s">
        <v>374</v>
      </c>
      <c r="D610" t="s">
        <v>7</v>
      </c>
      <c r="E610" s="4">
        <v>44608</v>
      </c>
      <c r="F610" s="4">
        <v>44983</v>
      </c>
      <c r="G610">
        <v>6222817.9800000004</v>
      </c>
    </row>
    <row r="611" spans="1:7" x14ac:dyDescent="0.45">
      <c r="A611" t="s">
        <v>593</v>
      </c>
      <c r="B611" t="s">
        <v>442</v>
      </c>
      <c r="C611" t="s">
        <v>366</v>
      </c>
      <c r="D611" t="s">
        <v>7</v>
      </c>
      <c r="E611" s="4">
        <v>44536</v>
      </c>
      <c r="F611" s="4">
        <v>46362</v>
      </c>
      <c r="G611">
        <v>6679294.9500000002</v>
      </c>
    </row>
    <row r="612" spans="1:7" x14ac:dyDescent="0.45">
      <c r="A612" t="s">
        <v>593</v>
      </c>
      <c r="B612" t="s">
        <v>442</v>
      </c>
      <c r="C612" t="s">
        <v>273</v>
      </c>
      <c r="D612" t="s">
        <v>7</v>
      </c>
      <c r="E612" s="4">
        <v>44536</v>
      </c>
      <c r="F612" s="4">
        <v>46362</v>
      </c>
      <c r="G612">
        <v>78507395.310000002</v>
      </c>
    </row>
    <row r="613" spans="1:7" x14ac:dyDescent="0.45">
      <c r="A613" t="s">
        <v>593</v>
      </c>
      <c r="B613" t="s">
        <v>442</v>
      </c>
      <c r="C613" t="s">
        <v>341</v>
      </c>
      <c r="D613" t="s">
        <v>7</v>
      </c>
      <c r="E613" s="4">
        <v>44536</v>
      </c>
      <c r="F613" s="4">
        <v>46362</v>
      </c>
      <c r="G613">
        <v>78721225.040000007</v>
      </c>
    </row>
    <row r="614" spans="1:7" x14ac:dyDescent="0.45">
      <c r="A614" t="s">
        <v>593</v>
      </c>
      <c r="B614" t="s">
        <v>442</v>
      </c>
      <c r="C614" t="s">
        <v>490</v>
      </c>
      <c r="D614" t="s">
        <v>7</v>
      </c>
      <c r="E614" s="4">
        <v>44536</v>
      </c>
      <c r="F614" s="4">
        <v>46362</v>
      </c>
      <c r="G614">
        <v>6701387.8700000001</v>
      </c>
    </row>
    <row r="615" spans="1:7" x14ac:dyDescent="0.45">
      <c r="A615" t="s">
        <v>593</v>
      </c>
      <c r="B615" t="s">
        <v>442</v>
      </c>
      <c r="C615" t="s">
        <v>424</v>
      </c>
      <c r="D615" t="s">
        <v>7</v>
      </c>
      <c r="E615" s="4">
        <v>44536</v>
      </c>
      <c r="F615" s="4">
        <v>46362</v>
      </c>
      <c r="G615">
        <v>1339527.8700000001</v>
      </c>
    </row>
    <row r="616" spans="1:7" x14ac:dyDescent="0.45">
      <c r="A616" t="s">
        <v>593</v>
      </c>
      <c r="B616" t="s">
        <v>442</v>
      </c>
      <c r="C616" t="s">
        <v>536</v>
      </c>
      <c r="D616" t="s">
        <v>7</v>
      </c>
      <c r="E616" s="4">
        <v>44536</v>
      </c>
      <c r="F616" s="4">
        <v>46362</v>
      </c>
      <c r="G616">
        <v>84990579.989999995</v>
      </c>
    </row>
    <row r="617" spans="1:7" x14ac:dyDescent="0.45">
      <c r="A617" t="s">
        <v>593</v>
      </c>
      <c r="B617" t="s">
        <v>442</v>
      </c>
      <c r="C617" t="s">
        <v>340</v>
      </c>
      <c r="D617" t="s">
        <v>7</v>
      </c>
      <c r="E617" s="4">
        <v>44536</v>
      </c>
      <c r="F617" s="4">
        <v>46362</v>
      </c>
      <c r="G617">
        <v>6640182.3600000003</v>
      </c>
    </row>
    <row r="618" spans="1:7" x14ac:dyDescent="0.45">
      <c r="A618" t="s">
        <v>593</v>
      </c>
      <c r="B618" t="s">
        <v>442</v>
      </c>
      <c r="C618" t="s">
        <v>391</v>
      </c>
      <c r="D618" t="s">
        <v>7</v>
      </c>
      <c r="E618" s="4">
        <v>44536</v>
      </c>
      <c r="F618" s="4">
        <v>46362</v>
      </c>
      <c r="G618">
        <v>2160377.2000000002</v>
      </c>
    </row>
    <row r="619" spans="1:7" x14ac:dyDescent="0.45">
      <c r="A619" t="s">
        <v>593</v>
      </c>
      <c r="B619" t="s">
        <v>442</v>
      </c>
      <c r="C619" t="s">
        <v>275</v>
      </c>
      <c r="D619" t="s">
        <v>7</v>
      </c>
      <c r="E619" s="4">
        <v>44536</v>
      </c>
      <c r="F619" s="4">
        <v>46362</v>
      </c>
      <c r="G619">
        <v>36838202.810000002</v>
      </c>
    </row>
    <row r="620" spans="1:7" x14ac:dyDescent="0.45">
      <c r="A620" t="s">
        <v>593</v>
      </c>
      <c r="B620" t="s">
        <v>442</v>
      </c>
      <c r="C620" t="s">
        <v>594</v>
      </c>
      <c r="D620" t="s">
        <v>7</v>
      </c>
      <c r="E620" s="4">
        <v>44536</v>
      </c>
      <c r="F620" s="4">
        <v>46362</v>
      </c>
      <c r="G620">
        <v>455189617.52999997</v>
      </c>
    </row>
    <row r="621" spans="1:7" x14ac:dyDescent="0.45">
      <c r="A621" t="s">
        <v>595</v>
      </c>
      <c r="B621" t="s">
        <v>219</v>
      </c>
      <c r="C621" t="s">
        <v>327</v>
      </c>
      <c r="D621" t="s">
        <v>7</v>
      </c>
      <c r="E621" s="4">
        <v>44292</v>
      </c>
      <c r="F621" s="4">
        <v>47970</v>
      </c>
      <c r="G621">
        <v>1172122.6000000001</v>
      </c>
    </row>
    <row r="622" spans="1:7" x14ac:dyDescent="0.45">
      <c r="A622" t="s">
        <v>596</v>
      </c>
      <c r="B622" t="s">
        <v>504</v>
      </c>
      <c r="C622" t="s">
        <v>597</v>
      </c>
      <c r="D622" t="s">
        <v>7</v>
      </c>
      <c r="E622" s="4">
        <v>43803</v>
      </c>
      <c r="F622" s="4">
        <v>44527</v>
      </c>
      <c r="G622">
        <v>52695670.450000003</v>
      </c>
    </row>
    <row r="623" spans="1:7" x14ac:dyDescent="0.45">
      <c r="A623" t="s">
        <v>596</v>
      </c>
      <c r="B623" t="s">
        <v>504</v>
      </c>
      <c r="C623" t="s">
        <v>270</v>
      </c>
      <c r="D623" t="s">
        <v>7</v>
      </c>
      <c r="E623" s="4">
        <v>43803</v>
      </c>
      <c r="F623" s="4">
        <v>44527</v>
      </c>
      <c r="G623">
        <v>37100480.93</v>
      </c>
    </row>
    <row r="624" spans="1:7" x14ac:dyDescent="0.45">
      <c r="A624" t="s">
        <v>596</v>
      </c>
      <c r="B624" t="s">
        <v>504</v>
      </c>
      <c r="C624" t="s">
        <v>589</v>
      </c>
      <c r="D624" t="s">
        <v>7</v>
      </c>
      <c r="E624" s="4">
        <v>43803</v>
      </c>
      <c r="F624" s="4">
        <v>44527</v>
      </c>
      <c r="G624">
        <v>64507090.32</v>
      </c>
    </row>
    <row r="625" spans="1:7" x14ac:dyDescent="0.45">
      <c r="A625" t="s">
        <v>596</v>
      </c>
      <c r="B625" t="s">
        <v>504</v>
      </c>
      <c r="C625" t="s">
        <v>361</v>
      </c>
      <c r="D625" t="s">
        <v>7</v>
      </c>
      <c r="E625" s="4">
        <v>43803</v>
      </c>
      <c r="F625" s="4">
        <v>44527</v>
      </c>
      <c r="G625">
        <v>1944228.13</v>
      </c>
    </row>
    <row r="626" spans="1:7" x14ac:dyDescent="0.45">
      <c r="A626" t="s">
        <v>596</v>
      </c>
      <c r="B626" t="s">
        <v>504</v>
      </c>
      <c r="C626" t="s">
        <v>370</v>
      </c>
      <c r="D626" t="s">
        <v>7</v>
      </c>
      <c r="E626" s="4">
        <v>43803</v>
      </c>
      <c r="F626" s="4">
        <v>44527</v>
      </c>
      <c r="G626">
        <v>1956373.37</v>
      </c>
    </row>
    <row r="627" spans="1:7" x14ac:dyDescent="0.45">
      <c r="A627" t="s">
        <v>596</v>
      </c>
      <c r="B627" t="s">
        <v>504</v>
      </c>
      <c r="C627" t="s">
        <v>258</v>
      </c>
      <c r="D627" t="s">
        <v>7</v>
      </c>
      <c r="E627" s="4">
        <v>43803</v>
      </c>
      <c r="F627" s="4">
        <v>44527</v>
      </c>
      <c r="G627">
        <v>5708314.9699999997</v>
      </c>
    </row>
    <row r="628" spans="1:7" x14ac:dyDescent="0.45">
      <c r="A628" t="s">
        <v>596</v>
      </c>
      <c r="B628" t="s">
        <v>504</v>
      </c>
      <c r="C628" t="s">
        <v>472</v>
      </c>
      <c r="D628" t="s">
        <v>7</v>
      </c>
      <c r="E628" s="4">
        <v>43803</v>
      </c>
      <c r="F628" s="4">
        <v>44527</v>
      </c>
      <c r="G628">
        <v>183077593.71000001</v>
      </c>
    </row>
    <row r="629" spans="1:7" x14ac:dyDescent="0.45">
      <c r="A629" t="s">
        <v>596</v>
      </c>
      <c r="B629" t="s">
        <v>504</v>
      </c>
      <c r="C629" t="s">
        <v>350</v>
      </c>
      <c r="D629" t="s">
        <v>7</v>
      </c>
      <c r="E629" s="4">
        <v>43803</v>
      </c>
      <c r="F629" s="4">
        <v>44527</v>
      </c>
      <c r="G629">
        <v>368653252.99000001</v>
      </c>
    </row>
    <row r="630" spans="1:7" x14ac:dyDescent="0.45">
      <c r="A630" t="s">
        <v>598</v>
      </c>
      <c r="B630" t="s">
        <v>319</v>
      </c>
      <c r="C630" t="s">
        <v>520</v>
      </c>
      <c r="D630" t="s">
        <v>7</v>
      </c>
      <c r="E630" s="4">
        <v>43886</v>
      </c>
      <c r="F630" s="4">
        <v>44997</v>
      </c>
      <c r="G630">
        <v>192464114.59999999</v>
      </c>
    </row>
    <row r="631" spans="1:7" x14ac:dyDescent="0.45">
      <c r="A631" t="s">
        <v>599</v>
      </c>
      <c r="B631" t="s">
        <v>434</v>
      </c>
      <c r="C631" t="s">
        <v>299</v>
      </c>
      <c r="D631" t="s">
        <v>7</v>
      </c>
      <c r="E631" s="4">
        <v>43523</v>
      </c>
      <c r="F631" s="4">
        <v>43860</v>
      </c>
      <c r="G631">
        <v>4241931.9800000004</v>
      </c>
    </row>
    <row r="632" spans="1:7" x14ac:dyDescent="0.45">
      <c r="A632" t="s">
        <v>600</v>
      </c>
      <c r="B632" t="s">
        <v>245</v>
      </c>
      <c r="C632" t="s">
        <v>211</v>
      </c>
      <c r="D632" t="s">
        <v>7</v>
      </c>
      <c r="E632" s="4">
        <v>43546</v>
      </c>
      <c r="F632" s="4">
        <v>44632</v>
      </c>
      <c r="G632">
        <v>95958024.079999998</v>
      </c>
    </row>
    <row r="633" spans="1:7" x14ac:dyDescent="0.45">
      <c r="A633" t="s">
        <v>601</v>
      </c>
      <c r="B633" t="s">
        <v>347</v>
      </c>
      <c r="C633" t="s">
        <v>340</v>
      </c>
      <c r="D633" t="s">
        <v>7</v>
      </c>
      <c r="E633" s="4">
        <v>43874</v>
      </c>
      <c r="F633" s="4">
        <v>44603</v>
      </c>
      <c r="G633">
        <v>72091218.799999997</v>
      </c>
    </row>
    <row r="634" spans="1:7" x14ac:dyDescent="0.45">
      <c r="A634" t="s">
        <v>602</v>
      </c>
      <c r="B634" t="s">
        <v>410</v>
      </c>
      <c r="C634" t="s">
        <v>546</v>
      </c>
      <c r="D634" t="s">
        <v>7</v>
      </c>
      <c r="E634" s="4">
        <v>43547</v>
      </c>
      <c r="F634" s="4">
        <v>45402</v>
      </c>
      <c r="G634">
        <v>92010408.510000005</v>
      </c>
    </row>
    <row r="635" spans="1:7" x14ac:dyDescent="0.45">
      <c r="A635" t="s">
        <v>603</v>
      </c>
      <c r="B635" t="s">
        <v>319</v>
      </c>
      <c r="C635" t="s">
        <v>313</v>
      </c>
      <c r="D635" t="s">
        <v>7</v>
      </c>
      <c r="E635" s="4">
        <v>44470</v>
      </c>
      <c r="F635" s="4">
        <v>47051</v>
      </c>
      <c r="G635">
        <v>9761001.2200000007</v>
      </c>
    </row>
    <row r="636" spans="1:7" x14ac:dyDescent="0.45">
      <c r="A636" t="s">
        <v>604</v>
      </c>
      <c r="B636" t="s">
        <v>335</v>
      </c>
      <c r="C636" t="s">
        <v>211</v>
      </c>
      <c r="D636" t="s">
        <v>7</v>
      </c>
      <c r="E636" s="4">
        <v>43606</v>
      </c>
      <c r="F636" s="4">
        <v>44351</v>
      </c>
      <c r="G636">
        <v>5723361.21</v>
      </c>
    </row>
    <row r="637" spans="1:7" x14ac:dyDescent="0.45">
      <c r="A637" t="s">
        <v>605</v>
      </c>
      <c r="B637" t="s">
        <v>458</v>
      </c>
      <c r="C637" t="s">
        <v>416</v>
      </c>
      <c r="D637" t="s">
        <v>7</v>
      </c>
      <c r="E637" s="4">
        <v>45192</v>
      </c>
      <c r="F637" s="4">
        <v>46993</v>
      </c>
      <c r="G637">
        <v>32371929.539999999</v>
      </c>
    </row>
    <row r="638" spans="1:7" x14ac:dyDescent="0.45">
      <c r="A638" t="s">
        <v>606</v>
      </c>
      <c r="B638" t="s">
        <v>242</v>
      </c>
      <c r="C638" t="s">
        <v>341</v>
      </c>
      <c r="D638" t="s">
        <v>7</v>
      </c>
      <c r="E638" s="4">
        <v>43775</v>
      </c>
      <c r="F638" s="4">
        <v>44870</v>
      </c>
      <c r="G638">
        <v>8824740.7100000009</v>
      </c>
    </row>
    <row r="639" spans="1:7" x14ac:dyDescent="0.45">
      <c r="A639" t="s">
        <v>607</v>
      </c>
      <c r="B639" t="s">
        <v>322</v>
      </c>
      <c r="C639" t="s">
        <v>258</v>
      </c>
      <c r="D639" t="s">
        <v>7</v>
      </c>
      <c r="E639" s="4">
        <v>45034</v>
      </c>
      <c r="F639" s="4">
        <v>46124</v>
      </c>
      <c r="G639">
        <v>1709475.36</v>
      </c>
    </row>
    <row r="640" spans="1:7" x14ac:dyDescent="0.45">
      <c r="A640" t="s">
        <v>608</v>
      </c>
      <c r="B640" t="s">
        <v>219</v>
      </c>
      <c r="C640" t="s">
        <v>256</v>
      </c>
      <c r="D640" t="s">
        <v>7</v>
      </c>
      <c r="E640" s="4">
        <v>43701</v>
      </c>
      <c r="F640" s="4">
        <v>45502</v>
      </c>
      <c r="G640">
        <v>4711046.93</v>
      </c>
    </row>
    <row r="641" spans="1:7" x14ac:dyDescent="0.45">
      <c r="A641" t="s">
        <v>609</v>
      </c>
      <c r="B641" t="s">
        <v>442</v>
      </c>
      <c r="C641" t="s">
        <v>389</v>
      </c>
      <c r="D641" t="s">
        <v>7</v>
      </c>
      <c r="E641" s="4">
        <v>45176</v>
      </c>
      <c r="F641" s="4">
        <v>47000</v>
      </c>
      <c r="G641">
        <v>14884769.199999999</v>
      </c>
    </row>
    <row r="642" spans="1:7" x14ac:dyDescent="0.45">
      <c r="A642" t="s">
        <v>610</v>
      </c>
      <c r="B642" t="s">
        <v>201</v>
      </c>
      <c r="C642" t="s">
        <v>246</v>
      </c>
      <c r="D642" t="s">
        <v>7</v>
      </c>
      <c r="E642" s="4">
        <v>45608</v>
      </c>
      <c r="F642" s="4">
        <v>47410</v>
      </c>
      <c r="G642">
        <v>29957239.699999999</v>
      </c>
    </row>
    <row r="643" spans="1:7" x14ac:dyDescent="0.45">
      <c r="A643" t="s">
        <v>611</v>
      </c>
      <c r="B643" t="s">
        <v>410</v>
      </c>
      <c r="C643" t="s">
        <v>454</v>
      </c>
      <c r="D643" t="s">
        <v>7</v>
      </c>
      <c r="E643" s="4">
        <v>45181</v>
      </c>
      <c r="F643" s="4">
        <v>46978</v>
      </c>
      <c r="G643">
        <v>83965479.390000001</v>
      </c>
    </row>
    <row r="644" spans="1:7" x14ac:dyDescent="0.45">
      <c r="A644" t="s">
        <v>612</v>
      </c>
      <c r="B644" t="s">
        <v>376</v>
      </c>
      <c r="C644" t="s">
        <v>206</v>
      </c>
      <c r="D644" t="s">
        <v>7</v>
      </c>
      <c r="E644" s="4">
        <v>43889</v>
      </c>
      <c r="F644" s="4">
        <v>44618</v>
      </c>
      <c r="G644">
        <v>265788138.05000001</v>
      </c>
    </row>
    <row r="645" spans="1:7" x14ac:dyDescent="0.45">
      <c r="A645" t="s">
        <v>613</v>
      </c>
      <c r="B645" t="s">
        <v>332</v>
      </c>
      <c r="C645" t="s">
        <v>597</v>
      </c>
      <c r="D645" t="s">
        <v>7</v>
      </c>
      <c r="E645" s="4">
        <v>44795</v>
      </c>
      <c r="F645" s="4">
        <v>45892</v>
      </c>
      <c r="G645">
        <v>10390386.49</v>
      </c>
    </row>
    <row r="646" spans="1:7" x14ac:dyDescent="0.45">
      <c r="A646" t="s">
        <v>614</v>
      </c>
      <c r="B646" t="s">
        <v>332</v>
      </c>
      <c r="C646" t="s">
        <v>479</v>
      </c>
      <c r="D646" t="s">
        <v>7</v>
      </c>
      <c r="E646" s="4">
        <v>45008</v>
      </c>
      <c r="F646" s="4">
        <v>46119</v>
      </c>
      <c r="G646">
        <v>1931985.65</v>
      </c>
    </row>
    <row r="647" spans="1:7" x14ac:dyDescent="0.45">
      <c r="A647" t="s">
        <v>615</v>
      </c>
      <c r="B647" t="s">
        <v>442</v>
      </c>
      <c r="C647" t="s">
        <v>207</v>
      </c>
      <c r="D647" t="s">
        <v>7</v>
      </c>
      <c r="E647" s="4">
        <v>45285</v>
      </c>
      <c r="F647" s="4">
        <v>46010</v>
      </c>
      <c r="G647">
        <v>50756113.549999997</v>
      </c>
    </row>
    <row r="648" spans="1:7" x14ac:dyDescent="0.45">
      <c r="A648" t="s">
        <v>616</v>
      </c>
      <c r="B648" t="s">
        <v>239</v>
      </c>
      <c r="C648" t="s">
        <v>366</v>
      </c>
      <c r="D648" t="s">
        <v>7</v>
      </c>
      <c r="E648" s="4">
        <v>45563</v>
      </c>
      <c r="F648" s="4">
        <v>46310</v>
      </c>
      <c r="G648">
        <v>6693249.5599999996</v>
      </c>
    </row>
    <row r="649" spans="1:7" x14ac:dyDescent="0.45">
      <c r="A649" t="s">
        <v>617</v>
      </c>
      <c r="B649" t="s">
        <v>230</v>
      </c>
      <c r="C649" t="s">
        <v>426</v>
      </c>
      <c r="D649" t="s">
        <v>7</v>
      </c>
      <c r="E649" s="4">
        <v>45602</v>
      </c>
      <c r="F649" s="4">
        <v>46711</v>
      </c>
      <c r="G649">
        <v>20386472.710000001</v>
      </c>
    </row>
    <row r="650" spans="1:7" x14ac:dyDescent="0.45">
      <c r="A650" t="s">
        <v>618</v>
      </c>
      <c r="B650" t="s">
        <v>458</v>
      </c>
      <c r="C650" t="s">
        <v>306</v>
      </c>
      <c r="D650" t="s">
        <v>7</v>
      </c>
      <c r="E650" s="4">
        <v>45653</v>
      </c>
      <c r="F650" s="4">
        <v>46774</v>
      </c>
      <c r="G650">
        <v>8274743.0099999998</v>
      </c>
    </row>
    <row r="651" spans="1:7" x14ac:dyDescent="0.45">
      <c r="A651" t="s">
        <v>619</v>
      </c>
      <c r="B651" t="s">
        <v>569</v>
      </c>
      <c r="C651" t="s">
        <v>536</v>
      </c>
      <c r="D651" t="s">
        <v>7</v>
      </c>
      <c r="E651" s="4">
        <v>44265</v>
      </c>
      <c r="F651" s="4">
        <v>46069</v>
      </c>
      <c r="G651">
        <v>7215353.6500000004</v>
      </c>
    </row>
    <row r="652" spans="1:7" x14ac:dyDescent="0.45">
      <c r="A652" t="s">
        <v>620</v>
      </c>
      <c r="B652" t="s">
        <v>446</v>
      </c>
      <c r="C652" t="s">
        <v>336</v>
      </c>
      <c r="D652" t="s">
        <v>7</v>
      </c>
      <c r="E652" s="4">
        <v>45254</v>
      </c>
      <c r="F652" s="4">
        <v>46333</v>
      </c>
      <c r="G652">
        <v>44999799.590000004</v>
      </c>
    </row>
    <row r="653" spans="1:7" x14ac:dyDescent="0.45">
      <c r="A653" t="s">
        <v>621</v>
      </c>
      <c r="B653" t="s">
        <v>279</v>
      </c>
      <c r="C653" t="s">
        <v>258</v>
      </c>
      <c r="D653" t="s">
        <v>7</v>
      </c>
      <c r="E653" s="4">
        <v>44756</v>
      </c>
      <c r="F653" s="4">
        <v>48419</v>
      </c>
      <c r="G653">
        <v>9692498.9199999999</v>
      </c>
    </row>
    <row r="654" spans="1:7" x14ac:dyDescent="0.45">
      <c r="A654" t="s">
        <v>622</v>
      </c>
      <c r="B654" t="s">
        <v>204</v>
      </c>
      <c r="C654" t="s">
        <v>301</v>
      </c>
      <c r="D654" t="s">
        <v>7</v>
      </c>
      <c r="E654" s="4">
        <v>44158</v>
      </c>
      <c r="F654" s="4">
        <v>45976</v>
      </c>
      <c r="G654">
        <v>76460502.920000002</v>
      </c>
    </row>
    <row r="655" spans="1:7" x14ac:dyDescent="0.45">
      <c r="A655" t="s">
        <v>623</v>
      </c>
      <c r="B655" t="s">
        <v>446</v>
      </c>
      <c r="C655" t="s">
        <v>526</v>
      </c>
      <c r="D655" t="s">
        <v>7</v>
      </c>
      <c r="E655" s="4">
        <v>44138</v>
      </c>
      <c r="F655" s="4">
        <v>44484</v>
      </c>
      <c r="G655">
        <v>43947840.43</v>
      </c>
    </row>
    <row r="656" spans="1:7" x14ac:dyDescent="0.45">
      <c r="A656" t="s">
        <v>624</v>
      </c>
      <c r="B656" t="s">
        <v>404</v>
      </c>
      <c r="C656" t="s">
        <v>370</v>
      </c>
      <c r="D656" t="s">
        <v>7</v>
      </c>
      <c r="E656" s="4">
        <v>45592</v>
      </c>
      <c r="F656" s="4">
        <v>47418</v>
      </c>
      <c r="G656">
        <v>16559271.59</v>
      </c>
    </row>
    <row r="657" spans="1:7" x14ac:dyDescent="0.45">
      <c r="A657" t="s">
        <v>624</v>
      </c>
      <c r="B657" t="s">
        <v>404</v>
      </c>
      <c r="C657" t="s">
        <v>509</v>
      </c>
      <c r="D657" t="s">
        <v>7</v>
      </c>
      <c r="E657" s="4">
        <v>45592</v>
      </c>
      <c r="F657" s="4">
        <v>47418</v>
      </c>
      <c r="G657">
        <v>9612889.4600000009</v>
      </c>
    </row>
    <row r="658" spans="1:7" x14ac:dyDescent="0.45">
      <c r="A658" t="s">
        <v>624</v>
      </c>
      <c r="B658" t="s">
        <v>404</v>
      </c>
      <c r="C658" t="s">
        <v>283</v>
      </c>
      <c r="D658" t="s">
        <v>7</v>
      </c>
      <c r="E658" s="4">
        <v>45592</v>
      </c>
      <c r="F658" s="4">
        <v>47418</v>
      </c>
      <c r="G658">
        <v>239761180.34</v>
      </c>
    </row>
    <row r="659" spans="1:7" x14ac:dyDescent="0.45">
      <c r="A659" t="s">
        <v>624</v>
      </c>
      <c r="B659" t="s">
        <v>404</v>
      </c>
      <c r="C659" t="s">
        <v>323</v>
      </c>
      <c r="D659" t="s">
        <v>7</v>
      </c>
      <c r="E659" s="4">
        <v>45592</v>
      </c>
      <c r="F659" s="4">
        <v>47418</v>
      </c>
      <c r="G659">
        <v>217429742.87</v>
      </c>
    </row>
    <row r="660" spans="1:7" x14ac:dyDescent="0.45">
      <c r="A660" t="s">
        <v>624</v>
      </c>
      <c r="B660" t="s">
        <v>404</v>
      </c>
      <c r="C660" t="s">
        <v>263</v>
      </c>
      <c r="D660" t="s">
        <v>7</v>
      </c>
      <c r="E660" s="4">
        <v>45592</v>
      </c>
      <c r="F660" s="4">
        <v>47418</v>
      </c>
      <c r="G660">
        <v>52737146.990000002</v>
      </c>
    </row>
    <row r="661" spans="1:7" x14ac:dyDescent="0.45">
      <c r="A661" t="s">
        <v>624</v>
      </c>
      <c r="B661" t="s">
        <v>404</v>
      </c>
      <c r="C661" t="s">
        <v>271</v>
      </c>
      <c r="D661" t="s">
        <v>7</v>
      </c>
      <c r="E661" s="4">
        <v>45592</v>
      </c>
      <c r="F661" s="4">
        <v>47418</v>
      </c>
      <c r="G661">
        <v>6843701.0199999996</v>
      </c>
    </row>
    <row r="662" spans="1:7" x14ac:dyDescent="0.45">
      <c r="A662" t="s">
        <v>624</v>
      </c>
      <c r="B662" t="s">
        <v>404</v>
      </c>
      <c r="C662" t="s">
        <v>348</v>
      </c>
      <c r="D662" t="s">
        <v>7</v>
      </c>
      <c r="E662" s="4">
        <v>45592</v>
      </c>
      <c r="F662" s="4">
        <v>47418</v>
      </c>
      <c r="G662">
        <v>6780379.2000000002</v>
      </c>
    </row>
    <row r="663" spans="1:7" x14ac:dyDescent="0.45">
      <c r="A663" t="s">
        <v>624</v>
      </c>
      <c r="B663" t="s">
        <v>404</v>
      </c>
      <c r="C663" t="s">
        <v>341</v>
      </c>
      <c r="D663" t="s">
        <v>7</v>
      </c>
      <c r="E663" s="4">
        <v>45592</v>
      </c>
      <c r="F663" s="4">
        <v>47418</v>
      </c>
      <c r="G663">
        <v>8970941.4299999997</v>
      </c>
    </row>
    <row r="664" spans="1:7" x14ac:dyDescent="0.45">
      <c r="A664" t="s">
        <v>625</v>
      </c>
      <c r="B664" t="s">
        <v>317</v>
      </c>
      <c r="C664" t="s">
        <v>264</v>
      </c>
      <c r="D664" t="s">
        <v>7</v>
      </c>
      <c r="E664" s="4">
        <v>43735</v>
      </c>
      <c r="F664" s="4">
        <v>45562</v>
      </c>
      <c r="G664">
        <v>5010012.08</v>
      </c>
    </row>
    <row r="665" spans="1:7" x14ac:dyDescent="0.45">
      <c r="A665" t="s">
        <v>626</v>
      </c>
      <c r="B665" t="s">
        <v>304</v>
      </c>
      <c r="C665" t="s">
        <v>379</v>
      </c>
      <c r="D665" t="s">
        <v>7</v>
      </c>
      <c r="E665" s="4">
        <v>44092</v>
      </c>
      <c r="F665" s="4">
        <v>44431</v>
      </c>
      <c r="G665">
        <v>79622403.969999999</v>
      </c>
    </row>
    <row r="666" spans="1:7" x14ac:dyDescent="0.45">
      <c r="A666" t="s">
        <v>627</v>
      </c>
      <c r="B666" t="s">
        <v>294</v>
      </c>
      <c r="C666" t="s">
        <v>413</v>
      </c>
      <c r="D666" t="s">
        <v>7</v>
      </c>
      <c r="E666" s="4">
        <v>43471</v>
      </c>
      <c r="F666" s="4">
        <v>45301</v>
      </c>
      <c r="G666">
        <v>6174660.6500000004</v>
      </c>
    </row>
    <row r="667" spans="1:7" x14ac:dyDescent="0.45">
      <c r="A667" t="s">
        <v>627</v>
      </c>
      <c r="B667" t="s">
        <v>294</v>
      </c>
      <c r="C667" t="s">
        <v>505</v>
      </c>
      <c r="D667" t="s">
        <v>7</v>
      </c>
      <c r="E667" s="4">
        <v>43471</v>
      </c>
      <c r="F667" s="4">
        <v>45301</v>
      </c>
      <c r="G667">
        <v>48972253.119999997</v>
      </c>
    </row>
    <row r="668" spans="1:7" x14ac:dyDescent="0.45">
      <c r="A668" t="s">
        <v>627</v>
      </c>
      <c r="B668" t="s">
        <v>294</v>
      </c>
      <c r="C668" t="s">
        <v>263</v>
      </c>
      <c r="D668" t="s">
        <v>7</v>
      </c>
      <c r="E668" s="4">
        <v>43471</v>
      </c>
      <c r="F668" s="4">
        <v>45301</v>
      </c>
      <c r="G668">
        <v>67728047.180000007</v>
      </c>
    </row>
    <row r="669" spans="1:7" x14ac:dyDescent="0.45">
      <c r="A669" t="s">
        <v>627</v>
      </c>
      <c r="B669" t="s">
        <v>294</v>
      </c>
      <c r="C669" t="s">
        <v>202</v>
      </c>
      <c r="D669" t="s">
        <v>7</v>
      </c>
      <c r="E669" s="4">
        <v>43471</v>
      </c>
      <c r="F669" s="4">
        <v>45301</v>
      </c>
      <c r="G669">
        <v>129035777.92</v>
      </c>
    </row>
    <row r="670" spans="1:7" x14ac:dyDescent="0.45">
      <c r="A670" t="s">
        <v>627</v>
      </c>
      <c r="B670" t="s">
        <v>294</v>
      </c>
      <c r="C670" t="s">
        <v>275</v>
      </c>
      <c r="D670" t="s">
        <v>7</v>
      </c>
      <c r="E670" s="4">
        <v>43471</v>
      </c>
      <c r="F670" s="4">
        <v>45301</v>
      </c>
      <c r="G670">
        <v>1955219.88</v>
      </c>
    </row>
    <row r="671" spans="1:7" x14ac:dyDescent="0.45">
      <c r="A671" t="s">
        <v>627</v>
      </c>
      <c r="B671" t="s">
        <v>294</v>
      </c>
      <c r="C671" t="s">
        <v>283</v>
      </c>
      <c r="D671" t="s">
        <v>7</v>
      </c>
      <c r="E671" s="4">
        <v>43471</v>
      </c>
      <c r="F671" s="4">
        <v>45301</v>
      </c>
      <c r="G671">
        <v>49390853.450000003</v>
      </c>
    </row>
    <row r="672" spans="1:7" x14ac:dyDescent="0.45">
      <c r="A672" t="s">
        <v>627</v>
      </c>
      <c r="B672" t="s">
        <v>294</v>
      </c>
      <c r="C672" t="s">
        <v>589</v>
      </c>
      <c r="D672" t="s">
        <v>7</v>
      </c>
      <c r="E672" s="4">
        <v>43471</v>
      </c>
      <c r="F672" s="4">
        <v>45301</v>
      </c>
      <c r="G672">
        <v>5265889.0999999996</v>
      </c>
    </row>
    <row r="673" spans="1:7" x14ac:dyDescent="0.45">
      <c r="A673" t="s">
        <v>627</v>
      </c>
      <c r="B673" t="s">
        <v>294</v>
      </c>
      <c r="C673" t="s">
        <v>575</v>
      </c>
      <c r="D673" t="s">
        <v>7</v>
      </c>
      <c r="E673" s="4">
        <v>43471</v>
      </c>
      <c r="F673" s="4">
        <v>45301</v>
      </c>
      <c r="G673">
        <v>8177361.5199999996</v>
      </c>
    </row>
    <row r="674" spans="1:7" x14ac:dyDescent="0.45">
      <c r="A674" t="s">
        <v>628</v>
      </c>
      <c r="B674" t="s">
        <v>378</v>
      </c>
      <c r="C674" t="s">
        <v>387</v>
      </c>
      <c r="D674" t="s">
        <v>7</v>
      </c>
      <c r="E674" s="4">
        <v>43736</v>
      </c>
      <c r="F674" s="4">
        <v>44808</v>
      </c>
      <c r="G674">
        <v>314860819.42000002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Till Küstahler</dc:creator>
  <cp:lastModifiedBy>Till Küstahler</cp:lastModifiedBy>
  <dcterms:created xsi:type="dcterms:W3CDTF">2015-06-05T18:17:20Z</dcterms:created>
  <dcterms:modified xsi:type="dcterms:W3CDTF">2026-05-14T08:39:38Z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c2fedb-0da6-4717-8531-d16a1b9930f4_Enabled">
    <vt:lpwstr>true</vt:lpwstr>
  </property>
  <property fmtid="{D5CDD505-2E9C-101B-9397-08002B2CF9AE}" pid="3" name="MSIP_Label_90c2fedb-0da6-4717-8531-d16a1b9930f4_SetDate">
    <vt:lpwstr>2026-02-23T08:47:43Z</vt:lpwstr>
  </property>
  <property fmtid="{D5CDD505-2E9C-101B-9397-08002B2CF9AE}" pid="4" name="MSIP_Label_90c2fedb-0da6-4717-8531-d16a1b9930f4_Method">
    <vt:lpwstr>Standard</vt:lpwstr>
  </property>
  <property fmtid="{D5CDD505-2E9C-101B-9397-08002B2CF9AE}" pid="5" name="MSIP_Label_90c2fedb-0da6-4717-8531-d16a1b9930f4_Name">
    <vt:lpwstr>90c2fedb-0da6-4717-8531-d16a1b9930f4</vt:lpwstr>
  </property>
  <property fmtid="{D5CDD505-2E9C-101B-9397-08002B2CF9AE}" pid="6" name="MSIP_Label_90c2fedb-0da6-4717-8531-d16a1b9930f4_SiteId">
    <vt:lpwstr>45597f60-6e37-4be7-acfb-4c9e23b261ea</vt:lpwstr>
  </property>
  <property fmtid="{D5CDD505-2E9C-101B-9397-08002B2CF9AE}" pid="7" name="MSIP_Label_90c2fedb-0da6-4717-8531-d16a1b9930f4_ActionId">
    <vt:lpwstr>d53628d4-c55d-44e9-9b13-da56a6a0a6dc</vt:lpwstr>
  </property>
  <property fmtid="{D5CDD505-2E9C-101B-9397-08002B2CF9AE}" pid="8" name="MSIP_Label_90c2fedb-0da6-4717-8531-d16a1b9930f4_ContentBits">
    <vt:lpwstr>0</vt:lpwstr>
  </property>
  <property fmtid="{D5CDD505-2E9C-101B-9397-08002B2CF9AE}" pid="9" name="MSIP_Label_90c2fedb-0da6-4717-8531-d16a1b9930f4_Tag">
    <vt:lpwstr>10, 3, 0, 1</vt:lpwstr>
  </property>
  <property fmtid="{D5CDD505-2E9C-101B-9397-08002B2CF9AE}" pid="10" name="{A44787D4-0540-4523-9961-78E4036D8C6D}">
    <vt:lpwstr>{F5832512-7055-4F8A-9F80-8C54F024019C}</vt:lpwstr>
  </property>
</Properties>
</file>