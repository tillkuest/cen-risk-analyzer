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wissre-my.sharepoint.com/personal/till_kuestahler_swissre_com/Documents/01_MyStuff/02_ZHAW/Semester2/"/>
    </mc:Choice>
  </mc:AlternateContent>
  <xr:revisionPtr revIDLastSave="157" documentId="11_F25DC773A252ABDACC1048EF39DD57D85BDE58EC" xr6:coauthVersionLast="47" xr6:coauthVersionMax="47" xr10:uidLastSave="{F18B7FCF-1506-4926-86A1-8FA11E541351}"/>
  <bookViews>
    <workbookView xWindow="-105" yWindow="705" windowWidth="29010" windowHeight="16680" xr2:uid="{00000000-000D-0000-FFFF-FFFF00000000}"/>
  </bookViews>
  <sheets>
    <sheet name="Sheet1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2" i="1"/>
  <c r="B171" i="1"/>
  <c r="B170" i="1"/>
  <c r="B169" i="1"/>
  <c r="B157" i="1"/>
  <c r="B156" i="1"/>
  <c r="B155" i="1"/>
  <c r="B154" i="1"/>
  <c r="B153" i="1"/>
  <c r="B128" i="1"/>
  <c r="B127" i="1"/>
  <c r="B105" i="1"/>
  <c r="B104" i="1"/>
  <c r="B103" i="1"/>
  <c r="B102" i="1"/>
  <c r="B118" i="1"/>
  <c r="B117" i="1"/>
  <c r="B116" i="1"/>
  <c r="B115" i="1"/>
  <c r="B114" i="1"/>
  <c r="B96" i="1"/>
  <c r="B95" i="1"/>
  <c r="B94" i="1"/>
  <c r="B79" i="1"/>
  <c r="B78" i="1"/>
  <c r="B77" i="1"/>
  <c r="B56" i="1"/>
  <c r="B55" i="1"/>
  <c r="B54" i="1"/>
  <c r="B33" i="1"/>
  <c r="B32" i="1"/>
  <c r="B31" i="1"/>
  <c r="B30" i="1"/>
  <c r="B36" i="1"/>
  <c r="B168" i="1"/>
  <c r="B167" i="1"/>
  <c r="B166" i="1"/>
  <c r="B165" i="1"/>
  <c r="B164" i="1"/>
  <c r="B163" i="1"/>
  <c r="B162" i="1"/>
  <c r="B161" i="1"/>
  <c r="B160" i="1"/>
  <c r="B159" i="1"/>
  <c r="B158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5" i="1"/>
  <c r="B134" i="1"/>
  <c r="B133" i="1"/>
  <c r="B132" i="1"/>
  <c r="B131" i="1"/>
  <c r="B130" i="1"/>
  <c r="B129" i="1"/>
  <c r="B126" i="1"/>
  <c r="B125" i="1"/>
  <c r="B124" i="1"/>
  <c r="B123" i="1"/>
  <c r="B122" i="1"/>
  <c r="B121" i="1"/>
  <c r="B120" i="1"/>
  <c r="B119" i="1"/>
  <c r="B112" i="1"/>
  <c r="B111" i="1"/>
  <c r="B110" i="1"/>
  <c r="B109" i="1"/>
  <c r="B108" i="1"/>
  <c r="B107" i="1"/>
  <c r="B106" i="1"/>
  <c r="B101" i="1"/>
  <c r="B100" i="1"/>
  <c r="B99" i="1"/>
  <c r="B98" i="1"/>
  <c r="B97" i="1"/>
  <c r="B87" i="1"/>
  <c r="B86" i="1"/>
  <c r="B85" i="1"/>
  <c r="B84" i="1"/>
  <c r="B83" i="1"/>
  <c r="B82" i="1"/>
  <c r="B81" i="1"/>
  <c r="B80" i="1"/>
  <c r="B76" i="1"/>
  <c r="B75" i="1"/>
  <c r="B74" i="1"/>
  <c r="B73" i="1"/>
  <c r="B72" i="1"/>
  <c r="B65" i="1"/>
  <c r="B64" i="1"/>
  <c r="B63" i="1"/>
  <c r="B62" i="1"/>
  <c r="B61" i="1"/>
  <c r="B60" i="1"/>
  <c r="B59" i="1"/>
  <c r="B58" i="1"/>
  <c r="B57" i="1"/>
  <c r="B53" i="1"/>
  <c r="B52" i="1"/>
  <c r="B51" i="1"/>
  <c r="B50" i="1"/>
  <c r="B45" i="1"/>
  <c r="B44" i="1"/>
  <c r="B43" i="1"/>
  <c r="B42" i="1"/>
  <c r="B41" i="1"/>
  <c r="B40" i="1"/>
  <c r="B39" i="1"/>
  <c r="B38" i="1"/>
  <c r="B37" i="1"/>
  <c r="B35" i="1"/>
  <c r="B34" i="1"/>
  <c r="B29" i="1"/>
  <c r="B28" i="1"/>
  <c r="B21" i="1"/>
  <c r="B20" i="1"/>
  <c r="B19" i="1"/>
  <c r="B12" i="1"/>
  <c r="B11" i="1"/>
  <c r="B10" i="1"/>
  <c r="B9" i="1"/>
  <c r="B5" i="1"/>
  <c r="B4" i="1"/>
  <c r="B3" i="1"/>
  <c r="B173" i="1"/>
  <c r="B172" i="1"/>
  <c r="B139" i="1"/>
  <c r="B138" i="1"/>
  <c r="B137" i="1"/>
  <c r="B136" i="1"/>
  <c r="B113" i="1"/>
  <c r="B93" i="1"/>
  <c r="B92" i="1"/>
  <c r="B91" i="1"/>
  <c r="B90" i="1"/>
  <c r="B89" i="1"/>
  <c r="B88" i="1"/>
  <c r="B71" i="1"/>
  <c r="B70" i="1"/>
  <c r="B69" i="1"/>
  <c r="B68" i="1"/>
  <c r="B67" i="1"/>
  <c r="B66" i="1"/>
  <c r="B49" i="1"/>
  <c r="B48" i="1"/>
  <c r="B47" i="1"/>
  <c r="B46" i="1"/>
  <c r="B27" i="1"/>
  <c r="B26" i="1"/>
  <c r="B25" i="1"/>
  <c r="B24" i="1"/>
  <c r="B23" i="1"/>
  <c r="B22" i="1"/>
  <c r="B18" i="1"/>
  <c r="B17" i="1"/>
  <c r="B16" i="1"/>
  <c r="B15" i="1"/>
  <c r="B14" i="1"/>
  <c r="B13" i="1"/>
  <c r="B8" i="1"/>
  <c r="B7" i="1"/>
  <c r="B6" i="1"/>
  <c r="B2" i="1"/>
</calcChain>
</file>

<file path=xl/sharedStrings.xml><?xml version="1.0" encoding="utf-8"?>
<sst xmlns="http://schemas.openxmlformats.org/spreadsheetml/2006/main" count="524" uniqueCount="200">
  <si>
    <t>IOL#</t>
  </si>
  <si>
    <t>Risk Counterparty</t>
  </si>
  <si>
    <t>Risk Country</t>
  </si>
  <si>
    <t>Risk Type (Category)</t>
  </si>
  <si>
    <t>Effective Date</t>
  </si>
  <si>
    <t>Expiry Date</t>
  </si>
  <si>
    <t>Premium Rate</t>
  </si>
  <si>
    <t>Ethiopia</t>
  </si>
  <si>
    <t>PR</t>
  </si>
  <si>
    <t>Burundi</t>
  </si>
  <si>
    <t>Kenya</t>
  </si>
  <si>
    <t>Uganda</t>
  </si>
  <si>
    <t>Gabon</t>
  </si>
  <si>
    <t>DRC</t>
  </si>
  <si>
    <t>Madagascar</t>
  </si>
  <si>
    <t>Exposure (USD)</t>
  </si>
  <si>
    <t>Ivory Coast</t>
  </si>
  <si>
    <t>POL4837</t>
  </si>
  <si>
    <t>POL0194</t>
  </si>
  <si>
    <t>POL7752</t>
  </si>
  <si>
    <t>POL3028</t>
  </si>
  <si>
    <t>POL6641</t>
  </si>
  <si>
    <t>POL1289</t>
  </si>
  <si>
    <t>POL5503</t>
  </si>
  <si>
    <t>POL9476</t>
  </si>
  <si>
    <t>POL2310</t>
  </si>
  <si>
    <t>POL8042</t>
  </si>
  <si>
    <t>POL3927</t>
  </si>
  <si>
    <t>POL6158</t>
  </si>
  <si>
    <t>POL0743</t>
  </si>
  <si>
    <t>POL2685</t>
  </si>
  <si>
    <t>POL9901</t>
  </si>
  <si>
    <t>POL3348</t>
  </si>
  <si>
    <t>POL9562</t>
  </si>
  <si>
    <t>POL1187</t>
  </si>
  <si>
    <t>POL6409</t>
  </si>
  <si>
    <t>POL2734</t>
  </si>
  <si>
    <t>POL8016</t>
  </si>
  <si>
    <t>POL4925</t>
  </si>
  <si>
    <t>POL1678</t>
  </si>
  <si>
    <t>POL7302</t>
  </si>
  <si>
    <t>POL2841</t>
  </si>
  <si>
    <t>POL6197</t>
  </si>
  <si>
    <t>POL9024</t>
  </si>
  <si>
    <t>POL3586</t>
  </si>
  <si>
    <t>POL7440</t>
  </si>
  <si>
    <t>POL0118</t>
  </si>
  <si>
    <t>POL4126</t>
  </si>
  <si>
    <t>POL2750</t>
  </si>
  <si>
    <t>POL9348</t>
  </si>
  <si>
    <t>POL5069</t>
  </si>
  <si>
    <t>POL1280</t>
  </si>
  <si>
    <t>POL2749</t>
  </si>
  <si>
    <t>POL8527</t>
  </si>
  <si>
    <t>POL4631</t>
  </si>
  <si>
    <t>POL7208</t>
  </si>
  <si>
    <t>POL1345</t>
  </si>
  <si>
    <t>POL9076</t>
  </si>
  <si>
    <t>POL3882</t>
  </si>
  <si>
    <t>POL6150</t>
  </si>
  <si>
    <t>POL2740</t>
  </si>
  <si>
    <t>POL5698</t>
  </si>
  <si>
    <t>POL9904</t>
  </si>
  <si>
    <t>POL7035</t>
  </si>
  <si>
    <t>POL1863</t>
  </si>
  <si>
    <t>POL8420</t>
  </si>
  <si>
    <t>POL3577</t>
  </si>
  <si>
    <t>POL4689</t>
  </si>
  <si>
    <t>POL6214</t>
  </si>
  <si>
    <t>POL0958</t>
  </si>
  <si>
    <t>POL7341</t>
  </si>
  <si>
    <t>POL2859</t>
  </si>
  <si>
    <t>POL5166</t>
  </si>
  <si>
    <t>POL8031</t>
  </si>
  <si>
    <t>POL6497</t>
  </si>
  <si>
    <t>POL4120</t>
  </si>
  <si>
    <t>POL9702</t>
  </si>
  <si>
    <t>POL2586</t>
  </si>
  <si>
    <t>POL7310</t>
  </si>
  <si>
    <t>POL5402</t>
  </si>
  <si>
    <t>POL8691</t>
  </si>
  <si>
    <t>POL3147</t>
  </si>
  <si>
    <t>POL6028</t>
  </si>
  <si>
    <t>POL4251</t>
  </si>
  <si>
    <t>POL6902</t>
  </si>
  <si>
    <t>POL1746</t>
  </si>
  <si>
    <t>POL8330</t>
  </si>
  <si>
    <t>POL2991</t>
  </si>
  <si>
    <t>POL7027</t>
  </si>
  <si>
    <t>POL5189</t>
  </si>
  <si>
    <t>POL9645</t>
  </si>
  <si>
    <t>POL2413</t>
  </si>
  <si>
    <t>POL6879</t>
  </si>
  <si>
    <t>POL3564</t>
  </si>
  <si>
    <t>POL8912</t>
  </si>
  <si>
    <t>POL4706</t>
  </si>
  <si>
    <t>POL6248</t>
  </si>
  <si>
    <t>POL1502</t>
  </si>
  <si>
    <t>POL9088</t>
  </si>
  <si>
    <t>POL2140</t>
  </si>
  <si>
    <t>POL9834</t>
  </si>
  <si>
    <t>POL5720</t>
  </si>
  <si>
    <t>POL3468</t>
  </si>
  <si>
    <t>POL7615</t>
  </si>
  <si>
    <t>POL2084</t>
  </si>
  <si>
    <t>POL6942</t>
  </si>
  <si>
    <t>POL8306</t>
  </si>
  <si>
    <t>POL4175</t>
  </si>
  <si>
    <t>POL2590</t>
  </si>
  <si>
    <t>POL9751</t>
  </si>
  <si>
    <t>POL5037</t>
  </si>
  <si>
    <t>POL6428</t>
  </si>
  <si>
    <t>POL1180</t>
  </si>
  <si>
    <t>POL8842</t>
  </si>
  <si>
    <t>POL3219</t>
  </si>
  <si>
    <t>POL7504</t>
  </si>
  <si>
    <t>POL4690</t>
  </si>
  <si>
    <t>POL6053</t>
  </si>
  <si>
    <t xml:space="preserve">Kenya  </t>
  </si>
  <si>
    <t xml:space="preserve">Poland  </t>
  </si>
  <si>
    <t xml:space="preserve">Romania  </t>
  </si>
  <si>
    <t xml:space="preserve">Ghana  </t>
  </si>
  <si>
    <t xml:space="preserve">Serbia  </t>
  </si>
  <si>
    <t xml:space="preserve">Morocco  </t>
  </si>
  <si>
    <t xml:space="preserve">Tunisia  </t>
  </si>
  <si>
    <t xml:space="preserve">Hungary  </t>
  </si>
  <si>
    <t xml:space="preserve">Bulgaria  </t>
  </si>
  <si>
    <t xml:space="preserve">Nigeria  </t>
  </si>
  <si>
    <t xml:space="preserve">Ethiopia  </t>
  </si>
  <si>
    <t xml:space="preserve">Czechia  </t>
  </si>
  <si>
    <t xml:space="preserve">Slovakia  </t>
  </si>
  <si>
    <t xml:space="preserve">Tanzania  </t>
  </si>
  <si>
    <t xml:space="preserve">Uganda  </t>
  </si>
  <si>
    <t xml:space="preserve">Croatia  </t>
  </si>
  <si>
    <t xml:space="preserve">Albania  </t>
  </si>
  <si>
    <t xml:space="preserve">Zambia  </t>
  </si>
  <si>
    <t xml:space="preserve">Zimbabwe  </t>
  </si>
  <si>
    <t xml:space="preserve">Bosnia and Herzegovina  </t>
  </si>
  <si>
    <t xml:space="preserve">North Macedonia  </t>
  </si>
  <si>
    <t xml:space="preserve">Senegal  </t>
  </si>
  <si>
    <t xml:space="preserve">Ivory Coast  </t>
  </si>
  <si>
    <t xml:space="preserve">Lithuania  </t>
  </si>
  <si>
    <t xml:space="preserve">Latvia  </t>
  </si>
  <si>
    <t xml:space="preserve">Estonia  </t>
  </si>
  <si>
    <t xml:space="preserve">Kosovo  </t>
  </si>
  <si>
    <t xml:space="preserve">Montenegro  </t>
  </si>
  <si>
    <t xml:space="preserve">Moldova  </t>
  </si>
  <si>
    <t xml:space="preserve">Georgia  </t>
  </si>
  <si>
    <t xml:space="preserve">Armenia  </t>
  </si>
  <si>
    <t xml:space="preserve">Azerbaijan  </t>
  </si>
  <si>
    <t xml:space="preserve">Egypt  </t>
  </si>
  <si>
    <t xml:space="preserve">Algeria  </t>
  </si>
  <si>
    <t xml:space="preserve">South Africa  </t>
  </si>
  <si>
    <t xml:space="preserve">Namibia  </t>
  </si>
  <si>
    <t xml:space="preserve">Botswana  </t>
  </si>
  <si>
    <t xml:space="preserve">Angola  </t>
  </si>
  <si>
    <t xml:space="preserve">Mozambique  </t>
  </si>
  <si>
    <t xml:space="preserve">Madagascar  </t>
  </si>
  <si>
    <t xml:space="preserve">Cameroon  </t>
  </si>
  <si>
    <t xml:space="preserve">Rwanda  </t>
  </si>
  <si>
    <t xml:space="preserve">Burundi  </t>
  </si>
  <si>
    <t xml:space="preserve">Malawi  </t>
  </si>
  <si>
    <t xml:space="preserve">Somalia  </t>
  </si>
  <si>
    <t xml:space="preserve">Djibouti  </t>
  </si>
  <si>
    <t xml:space="preserve">Eritrea  </t>
  </si>
  <si>
    <t xml:space="preserve">Sudan  </t>
  </si>
  <si>
    <t xml:space="preserve">South Sudan  </t>
  </si>
  <si>
    <t xml:space="preserve">Chad  </t>
  </si>
  <si>
    <t xml:space="preserve">Niger  </t>
  </si>
  <si>
    <t xml:space="preserve">Mali  </t>
  </si>
  <si>
    <t xml:space="preserve">Burkina Faso  </t>
  </si>
  <si>
    <t xml:space="preserve">Gambia  </t>
  </si>
  <si>
    <t xml:space="preserve">Guinea  </t>
  </si>
  <si>
    <t xml:space="preserve">Sierra Leone  </t>
  </si>
  <si>
    <t xml:space="preserve">Liberia  </t>
  </si>
  <si>
    <t xml:space="preserve">Togo  </t>
  </si>
  <si>
    <t xml:space="preserve">Benin  </t>
  </si>
  <si>
    <t xml:space="preserve">Gabon  </t>
  </si>
  <si>
    <t xml:space="preserve">Congo  </t>
  </si>
  <si>
    <t xml:space="preserve">DR Congo  </t>
  </si>
  <si>
    <t xml:space="preserve">Central African Republic  </t>
  </si>
  <si>
    <t xml:space="preserve">Equatorial Guinea  </t>
  </si>
  <si>
    <t xml:space="preserve">São Tomé and Príncipe  </t>
  </si>
  <si>
    <t xml:space="preserve">Cape Verde  </t>
  </si>
  <si>
    <t xml:space="preserve">Mauritania  </t>
  </si>
  <si>
    <t xml:space="preserve">Seychelles  </t>
  </si>
  <si>
    <t xml:space="preserve">Comoros  </t>
  </si>
  <si>
    <t xml:space="preserve">Mauritius  </t>
  </si>
  <si>
    <t xml:space="preserve">Lesotho  </t>
  </si>
  <si>
    <t xml:space="preserve">Eswatini  </t>
  </si>
  <si>
    <t xml:space="preserve">Brazil  </t>
  </si>
  <si>
    <t xml:space="preserve">Mexico  </t>
  </si>
  <si>
    <t xml:space="preserve">Argentina  </t>
  </si>
  <si>
    <t xml:space="preserve">Colombia  </t>
  </si>
  <si>
    <t xml:space="preserve">Peru  </t>
  </si>
  <si>
    <t xml:space="preserve">India  </t>
  </si>
  <si>
    <t xml:space="preserve">China  </t>
  </si>
  <si>
    <t xml:space="preserve">Indonesia  </t>
  </si>
  <si>
    <t xml:space="preserve">Thailand  </t>
  </si>
  <si>
    <t xml:space="preserve">Vietnam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</si>
</sst>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6" formatCode="0.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D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9">
    <xf numFmtId="0" fontId="0" fillId="0" borderId="0" xfId="0"/>
    <xf numFmtId="0" fontId="0" fillId="3" borderId="1" xfId="0" applyFill="1" applyBorder="1"/>
    <xf numFmtId="43" fontId="2" fillId="3" borderId="1" xfId="1" applyFont="1" applyFill="1" applyBorder="1" applyAlignment="1"/>
    <xf numFmtId="166" fontId="2" fillId="3" borderId="1" xfId="0" applyNumberFormat="1" applyFont="1" applyFill="1" applyBorder="1"/>
    <xf numFmtId="43" fontId="0" fillId="0" borderId="0" xfId="1" applyFont="1"/>
    <xf numFmtId="0" fontId="4" fillId="2" borderId="2" xfId="2" applyFont="1" applyFill="1" applyBorder="1" applyAlignment="1">
      <alignment horizontal="center" vertical="center" wrapText="1"/>
    </xf>
    <xf numFmtId="14" fontId="0" fillId="0" borderId="1" xfId="0" applyNumberFormat="1" applyBorder="1"/>
    <xf numFmtId="0" fontId="0" fillId="0" borderId="1" xfId="0" applyBorder="1"/>
    <xf numFmtId="0" fontId="0" fillId="4" borderId="1" xfId="0" applyFill="1" applyBorder="1"/>
  </cellXfs>
  <cellStyles count="3">
    <cellStyle name="Comma" xfId="1" builtinId="3"/>
    <cellStyle name="Normal" xfId="0" builtinId="0"/>
    <cellStyle name="Normal 2" xfId="2" xr:uid="{5F4F5727-1BB7-4189-A7ED-8FEA7505874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87"/>
  <sheetViews>
    <sheetView tabSelected="1" workbookViewId="0">
      <selection activeCell="L8" sqref="L8"/>
    </sheetView>
  </sheetViews>
  <sheetFormatPr defaultRowHeight="15" x14ac:dyDescent="0.25"/>
  <cols>
    <col min="1" max="1" width="24.85546875" customWidth="1"/>
    <col min="2" max="2" width="54.28515625" customWidth="1"/>
    <col min="3" max="3" width="23.140625" customWidth="1"/>
    <col min="4" max="4" width="19.28515625" customWidth="1"/>
    <col min="5" max="5" width="18.28515625" customWidth="1"/>
    <col min="6" max="6" width="16.7109375" customWidth="1"/>
    <col min="7" max="7" width="29.140625" customWidth="1"/>
    <col min="8" max="8" width="19.85546875" customWidth="1"/>
  </cols>
  <sheetData>
    <row r="1" spans="1:9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15</v>
      </c>
      <c r="H1" s="5" t="s">
        <v>6</v>
      </c>
    </row>
    <row r="2" spans="1:9" x14ac:dyDescent="0.25">
      <c r="A2" s="1" t="s">
        <v>17</v>
      </c>
      <c r="B2" s="1" t="str">
        <f>"Telecom "&amp;C2</f>
        <v>Telecom Ethiopia</v>
      </c>
      <c r="C2" s="1" t="s">
        <v>7</v>
      </c>
      <c r="D2" s="1" t="s">
        <v>8</v>
      </c>
      <c r="E2" s="6">
        <v>44019</v>
      </c>
      <c r="F2" s="6">
        <v>46963</v>
      </c>
      <c r="G2" s="2">
        <v>284736592</v>
      </c>
      <c r="H2" s="3">
        <v>1.223E-2</v>
      </c>
      <c r="I2" s="7">
        <f>YEARFRAC(E2,F2)</f>
        <v>8.0611111111111118</v>
      </c>
    </row>
    <row r="3" spans="1:9" x14ac:dyDescent="0.25">
      <c r="A3" s="1" t="s">
        <v>18</v>
      </c>
      <c r="B3" s="1" t="str">
        <f>"Government of "&amp;C3</f>
        <v>Government of Ethiopia</v>
      </c>
      <c r="C3" s="1" t="s">
        <v>7</v>
      </c>
      <c r="D3" s="1" t="s">
        <v>8</v>
      </c>
      <c r="E3" s="6">
        <v>44019</v>
      </c>
      <c r="F3" s="6">
        <v>48021</v>
      </c>
      <c r="G3" s="2">
        <v>150483920</v>
      </c>
      <c r="H3" s="3">
        <v>1.223E-2</v>
      </c>
      <c r="I3" s="7">
        <f t="shared" ref="I3:I66" si="0">YEARFRAC(E3,F3)</f>
        <v>10.958333333333334</v>
      </c>
    </row>
    <row r="4" spans="1:9" x14ac:dyDescent="0.25">
      <c r="A4" s="1" t="s">
        <v>19</v>
      </c>
      <c r="B4" s="1" t="str">
        <f t="shared" ref="B4:B5" si="1">"Government of "&amp;C4</f>
        <v>Government of Burundi</v>
      </c>
      <c r="C4" s="1" t="s">
        <v>9</v>
      </c>
      <c r="D4" s="1" t="s">
        <v>8</v>
      </c>
      <c r="E4" s="6">
        <v>44019</v>
      </c>
      <c r="F4" s="6">
        <v>48955</v>
      </c>
      <c r="G4" s="2">
        <v>98765432</v>
      </c>
      <c r="H4" s="3">
        <v>2.8000000000000001E-2</v>
      </c>
      <c r="I4" s="7">
        <f t="shared" si="0"/>
        <v>13.511111111111111</v>
      </c>
    </row>
    <row r="5" spans="1:9" x14ac:dyDescent="0.25">
      <c r="A5" s="1" t="s">
        <v>20</v>
      </c>
      <c r="B5" s="1" t="str">
        <f t="shared" si="1"/>
        <v>Government of Kenya</v>
      </c>
      <c r="C5" s="1" t="s">
        <v>10</v>
      </c>
      <c r="D5" s="1" t="s">
        <v>8</v>
      </c>
      <c r="E5" s="6">
        <v>45347</v>
      </c>
      <c r="F5" s="6">
        <v>48347</v>
      </c>
      <c r="G5" s="2">
        <v>276543890</v>
      </c>
      <c r="H5" s="3">
        <v>0.02</v>
      </c>
      <c r="I5" s="7">
        <f t="shared" si="0"/>
        <v>8.2166666666666668</v>
      </c>
    </row>
    <row r="6" spans="1:9" x14ac:dyDescent="0.25">
      <c r="A6" s="1" t="s">
        <v>21</v>
      </c>
      <c r="B6" s="1" t="str">
        <f t="shared" ref="B6:B8" si="2">"Telecom "&amp;C6</f>
        <v>Telecom Uganda</v>
      </c>
      <c r="C6" s="1" t="s">
        <v>11</v>
      </c>
      <c r="D6" s="1" t="s">
        <v>8</v>
      </c>
      <c r="E6" s="6">
        <v>45794</v>
      </c>
      <c r="F6" s="6">
        <v>49112</v>
      </c>
      <c r="G6" s="2">
        <v>50483920</v>
      </c>
      <c r="H6" s="3">
        <v>1.4999999999999999E-2</v>
      </c>
      <c r="I6" s="7">
        <f t="shared" si="0"/>
        <v>9.0833333333333339</v>
      </c>
    </row>
    <row r="7" spans="1:9" x14ac:dyDescent="0.25">
      <c r="A7" s="1" t="s">
        <v>22</v>
      </c>
      <c r="B7" s="1" t="str">
        <f t="shared" si="2"/>
        <v>Telecom Uganda</v>
      </c>
      <c r="C7" s="1" t="s">
        <v>11</v>
      </c>
      <c r="D7" s="1" t="s">
        <v>8</v>
      </c>
      <c r="E7" s="6">
        <v>44478</v>
      </c>
      <c r="F7" s="6">
        <v>47177</v>
      </c>
      <c r="G7" s="2">
        <v>198765432</v>
      </c>
      <c r="H7" s="3">
        <v>1.4E-2</v>
      </c>
      <c r="I7" s="7">
        <f t="shared" si="0"/>
        <v>7.3861111111111111</v>
      </c>
    </row>
    <row r="8" spans="1:9" x14ac:dyDescent="0.25">
      <c r="A8" s="1" t="s">
        <v>23</v>
      </c>
      <c r="B8" s="1" t="str">
        <f t="shared" si="2"/>
        <v>Telecom Gabon</v>
      </c>
      <c r="C8" s="1" t="s">
        <v>12</v>
      </c>
      <c r="D8" s="1" t="s">
        <v>8</v>
      </c>
      <c r="E8" s="6">
        <v>44536</v>
      </c>
      <c r="F8" s="6">
        <v>48137</v>
      </c>
      <c r="G8" s="2">
        <v>75049283</v>
      </c>
      <c r="H8" s="3">
        <v>1.4E-2</v>
      </c>
      <c r="I8" s="7">
        <f t="shared" si="0"/>
        <v>9.8611111111111107</v>
      </c>
    </row>
    <row r="9" spans="1:9" x14ac:dyDescent="0.25">
      <c r="A9" s="1" t="s">
        <v>24</v>
      </c>
      <c r="B9" s="1" t="str">
        <f t="shared" ref="B9:B12" si="3">"Government of "&amp;C9</f>
        <v>Government of Ivory Coast</v>
      </c>
      <c r="C9" s="1" t="s">
        <v>16</v>
      </c>
      <c r="D9" s="1" t="s">
        <v>8</v>
      </c>
      <c r="E9" s="6">
        <v>45037</v>
      </c>
      <c r="F9" s="6">
        <v>48456</v>
      </c>
      <c r="G9" s="2">
        <v>299845672</v>
      </c>
      <c r="H9" s="3">
        <v>1.4E-2</v>
      </c>
      <c r="I9" s="7">
        <f t="shared" si="0"/>
        <v>9.3583333333333325</v>
      </c>
    </row>
    <row r="10" spans="1:9" x14ac:dyDescent="0.25">
      <c r="A10" s="1" t="s">
        <v>25</v>
      </c>
      <c r="B10" s="1" t="str">
        <f t="shared" si="3"/>
        <v>Government of DRC</v>
      </c>
      <c r="C10" s="1" t="s">
        <v>13</v>
      </c>
      <c r="D10" s="1" t="s">
        <v>8</v>
      </c>
      <c r="E10" s="6">
        <v>44135</v>
      </c>
      <c r="F10" s="6">
        <v>46448</v>
      </c>
      <c r="G10" s="2">
        <v>183920475</v>
      </c>
      <c r="H10" s="3">
        <v>1.7999999999999999E-2</v>
      </c>
      <c r="I10" s="7">
        <f t="shared" si="0"/>
        <v>6.3388888888888886</v>
      </c>
    </row>
    <row r="11" spans="1:9" x14ac:dyDescent="0.25">
      <c r="A11" s="1" t="s">
        <v>26</v>
      </c>
      <c r="B11" s="1" t="str">
        <f t="shared" si="3"/>
        <v>Government of DRC</v>
      </c>
      <c r="C11" s="1" t="s">
        <v>13</v>
      </c>
      <c r="D11" s="1" t="s">
        <v>8</v>
      </c>
      <c r="E11" s="6">
        <v>45347</v>
      </c>
      <c r="F11" s="6">
        <v>47683</v>
      </c>
      <c r="G11" s="2">
        <v>64293850</v>
      </c>
      <c r="H11" s="3">
        <v>0.03</v>
      </c>
      <c r="I11" s="7">
        <f t="shared" si="0"/>
        <v>6.4</v>
      </c>
    </row>
    <row r="12" spans="1:9" x14ac:dyDescent="0.25">
      <c r="A12" s="1" t="s">
        <v>27</v>
      </c>
      <c r="B12" s="1" t="str">
        <f t="shared" si="3"/>
        <v>Government of Madagascar</v>
      </c>
      <c r="C12" s="1" t="s">
        <v>14</v>
      </c>
      <c r="D12" s="1" t="s">
        <v>8</v>
      </c>
      <c r="E12" s="6">
        <v>44478</v>
      </c>
      <c r="F12" s="6">
        <v>47425</v>
      </c>
      <c r="G12" s="2">
        <v>120394857</v>
      </c>
      <c r="H12" s="3">
        <v>2.1999999999999999E-2</v>
      </c>
      <c r="I12" s="7">
        <f t="shared" si="0"/>
        <v>8.0666666666666664</v>
      </c>
    </row>
    <row r="13" spans="1:9" x14ac:dyDescent="0.25">
      <c r="A13" s="1" t="s">
        <v>28</v>
      </c>
      <c r="B13" s="1" t="str">
        <f t="shared" ref="B13:B18" si="4">"Telecom "&amp;C13</f>
        <v>Telecom Ethiopia</v>
      </c>
      <c r="C13" s="1" t="s">
        <v>7</v>
      </c>
      <c r="D13" s="1" t="s">
        <v>8</v>
      </c>
      <c r="E13" s="6">
        <v>43301</v>
      </c>
      <c r="F13" s="6">
        <v>48021</v>
      </c>
      <c r="G13" s="2">
        <v>257394820</v>
      </c>
      <c r="H13" s="3">
        <v>3.5000000000000003E-2</v>
      </c>
      <c r="I13" s="7">
        <f t="shared" si="0"/>
        <v>12.922222222222222</v>
      </c>
    </row>
    <row r="14" spans="1:9" x14ac:dyDescent="0.25">
      <c r="A14" s="7" t="s">
        <v>29</v>
      </c>
      <c r="B14" s="1" t="str">
        <f t="shared" si="4"/>
        <v xml:space="preserve">Telecom Kenya  </v>
      </c>
      <c r="C14" s="1" t="s">
        <v>118</v>
      </c>
      <c r="D14" s="1" t="s">
        <v>8</v>
      </c>
      <c r="E14" s="6">
        <v>44019</v>
      </c>
      <c r="F14" s="6">
        <v>46582</v>
      </c>
      <c r="G14" s="2">
        <v>98475032</v>
      </c>
      <c r="H14" s="3">
        <v>1.4E-2</v>
      </c>
      <c r="I14" s="7">
        <f t="shared" si="0"/>
        <v>7.0194444444444448</v>
      </c>
    </row>
    <row r="15" spans="1:9" x14ac:dyDescent="0.25">
      <c r="A15" s="7" t="s">
        <v>30</v>
      </c>
      <c r="B15" s="1" t="str">
        <f t="shared" si="4"/>
        <v xml:space="preserve">Telecom Poland  </v>
      </c>
      <c r="C15" s="1" t="s">
        <v>119</v>
      </c>
      <c r="D15" s="1" t="s">
        <v>8</v>
      </c>
      <c r="E15" s="6">
        <v>45735</v>
      </c>
      <c r="F15" s="6">
        <v>47425</v>
      </c>
      <c r="G15" s="2">
        <v>167483920</v>
      </c>
      <c r="H15" s="3">
        <v>1.4E-2</v>
      </c>
      <c r="I15" s="7">
        <f t="shared" si="0"/>
        <v>4.6222222222222218</v>
      </c>
    </row>
    <row r="16" spans="1:9" x14ac:dyDescent="0.25">
      <c r="A16" s="8" t="s">
        <v>31</v>
      </c>
      <c r="B16" s="1" t="str">
        <f t="shared" si="4"/>
        <v xml:space="preserve">Telecom Romania  </v>
      </c>
      <c r="C16" s="1" t="s">
        <v>120</v>
      </c>
      <c r="D16" s="1" t="s">
        <v>8</v>
      </c>
      <c r="E16" s="6">
        <v>43355</v>
      </c>
      <c r="F16" s="6">
        <v>48021</v>
      </c>
      <c r="G16" s="2">
        <v>54392018</v>
      </c>
      <c r="H16" s="3">
        <v>1.4E-2</v>
      </c>
      <c r="I16" s="7">
        <f t="shared" si="0"/>
        <v>12.777777777777779</v>
      </c>
    </row>
    <row r="17" spans="1:9" x14ac:dyDescent="0.25">
      <c r="A17" s="8" t="s">
        <v>31</v>
      </c>
      <c r="B17" s="1" t="str">
        <f t="shared" si="4"/>
        <v xml:space="preserve">Telecom Ghana  </v>
      </c>
      <c r="C17" s="1" t="s">
        <v>121</v>
      </c>
      <c r="D17" s="1" t="s">
        <v>8</v>
      </c>
      <c r="E17" s="6">
        <v>43355</v>
      </c>
      <c r="F17" s="6">
        <v>48021</v>
      </c>
      <c r="G17" s="2">
        <v>208394756</v>
      </c>
      <c r="H17" s="3">
        <v>1.4E-2</v>
      </c>
      <c r="I17" s="7">
        <f t="shared" si="0"/>
        <v>12.777777777777779</v>
      </c>
    </row>
    <row r="18" spans="1:9" x14ac:dyDescent="0.25">
      <c r="A18" s="8" t="s">
        <v>31</v>
      </c>
      <c r="B18" s="1" t="str">
        <f t="shared" si="4"/>
        <v xml:space="preserve">Telecom Serbia  </v>
      </c>
      <c r="C18" s="1" t="s">
        <v>122</v>
      </c>
      <c r="D18" s="1" t="s">
        <v>8</v>
      </c>
      <c r="E18" s="6">
        <v>43355</v>
      </c>
      <c r="F18" s="6">
        <v>48021</v>
      </c>
      <c r="G18" s="2">
        <v>174839205</v>
      </c>
      <c r="H18" s="3">
        <v>1.4E-2</v>
      </c>
      <c r="I18" s="7">
        <f t="shared" si="0"/>
        <v>12.777777777777779</v>
      </c>
    </row>
    <row r="19" spans="1:9" x14ac:dyDescent="0.25">
      <c r="A19" s="8" t="s">
        <v>31</v>
      </c>
      <c r="B19" s="1" t="str">
        <f t="shared" ref="B19:B21" si="5">"Government of "&amp;C19</f>
        <v xml:space="preserve">Government of Morocco  </v>
      </c>
      <c r="C19" s="1" t="s">
        <v>123</v>
      </c>
      <c r="D19" s="1" t="s">
        <v>8</v>
      </c>
      <c r="E19" s="6">
        <v>43355</v>
      </c>
      <c r="F19" s="6">
        <v>48021</v>
      </c>
      <c r="G19" s="2">
        <v>263948571</v>
      </c>
      <c r="H19" s="3">
        <v>1.4E-2</v>
      </c>
      <c r="I19" s="7">
        <f t="shared" si="0"/>
        <v>12.777777777777779</v>
      </c>
    </row>
    <row r="20" spans="1:9" x14ac:dyDescent="0.25">
      <c r="A20" s="8" t="s">
        <v>31</v>
      </c>
      <c r="B20" s="1" t="str">
        <f t="shared" si="5"/>
        <v xml:space="preserve">Government of Tunisia  </v>
      </c>
      <c r="C20" s="1" t="s">
        <v>124</v>
      </c>
      <c r="D20" s="1" t="s">
        <v>8</v>
      </c>
      <c r="E20" s="6">
        <v>43355</v>
      </c>
      <c r="F20" s="6">
        <v>48021</v>
      </c>
      <c r="G20" s="2">
        <v>84392057</v>
      </c>
      <c r="H20" s="3">
        <v>1.4E-2</v>
      </c>
      <c r="I20" s="7">
        <f t="shared" si="0"/>
        <v>12.777777777777779</v>
      </c>
    </row>
    <row r="21" spans="1:9" x14ac:dyDescent="0.25">
      <c r="A21" s="8" t="s">
        <v>31</v>
      </c>
      <c r="B21" s="1" t="str">
        <f t="shared" si="5"/>
        <v xml:space="preserve">Government of Hungary  </v>
      </c>
      <c r="C21" s="1" t="s">
        <v>125</v>
      </c>
      <c r="D21" s="1" t="s">
        <v>8</v>
      </c>
      <c r="E21" s="6">
        <v>43355</v>
      </c>
      <c r="F21" s="6">
        <v>48021</v>
      </c>
      <c r="G21" s="2">
        <v>129384756</v>
      </c>
      <c r="H21" s="3">
        <v>1.4E-2</v>
      </c>
      <c r="I21" s="7">
        <f t="shared" si="0"/>
        <v>12.777777777777779</v>
      </c>
    </row>
    <row r="22" spans="1:9" x14ac:dyDescent="0.25">
      <c r="A22" s="8" t="s">
        <v>31</v>
      </c>
      <c r="B22" s="1" t="str">
        <f t="shared" ref="B22:B27" si="6">"Telecom "&amp;C22</f>
        <v xml:space="preserve">Telecom Bulgaria  </v>
      </c>
      <c r="C22" s="1" t="s">
        <v>126</v>
      </c>
      <c r="D22" s="1" t="s">
        <v>8</v>
      </c>
      <c r="E22" s="6">
        <v>43355</v>
      </c>
      <c r="F22" s="6">
        <v>48021</v>
      </c>
      <c r="G22" s="2">
        <v>295748302</v>
      </c>
      <c r="H22" s="3">
        <v>1.4E-2</v>
      </c>
      <c r="I22" s="7">
        <f t="shared" si="0"/>
        <v>12.777777777777779</v>
      </c>
    </row>
    <row r="23" spans="1:9" x14ac:dyDescent="0.25">
      <c r="A23" s="8" t="s">
        <v>31</v>
      </c>
      <c r="B23" s="1" t="str">
        <f t="shared" si="6"/>
        <v xml:space="preserve">Telecom Nigeria  </v>
      </c>
      <c r="C23" s="1" t="s">
        <v>127</v>
      </c>
      <c r="D23" s="1" t="s">
        <v>8</v>
      </c>
      <c r="E23" s="6">
        <v>43355</v>
      </c>
      <c r="F23" s="6">
        <v>48021</v>
      </c>
      <c r="G23" s="2">
        <v>68492013</v>
      </c>
      <c r="H23" s="3">
        <v>1.4E-2</v>
      </c>
      <c r="I23" s="7">
        <f t="shared" si="0"/>
        <v>12.777777777777779</v>
      </c>
    </row>
    <row r="24" spans="1:9" x14ac:dyDescent="0.25">
      <c r="A24" s="8" t="s">
        <v>31</v>
      </c>
      <c r="B24" s="1" t="str">
        <f t="shared" si="6"/>
        <v xml:space="preserve">Telecom Ethiopia  </v>
      </c>
      <c r="C24" s="1" t="s">
        <v>128</v>
      </c>
      <c r="D24" s="1" t="s">
        <v>8</v>
      </c>
      <c r="E24" s="6">
        <v>43355</v>
      </c>
      <c r="F24" s="6">
        <v>48021</v>
      </c>
      <c r="G24" s="2">
        <v>93485720</v>
      </c>
      <c r="H24" s="3">
        <v>1.4E-2</v>
      </c>
      <c r="I24" s="7">
        <f t="shared" si="0"/>
        <v>12.777777777777779</v>
      </c>
    </row>
    <row r="25" spans="1:9" x14ac:dyDescent="0.25">
      <c r="A25" s="8" t="s">
        <v>31</v>
      </c>
      <c r="B25" s="1" t="str">
        <f t="shared" si="6"/>
        <v xml:space="preserve">Telecom Czechia  </v>
      </c>
      <c r="C25" s="1" t="s">
        <v>129</v>
      </c>
      <c r="D25" s="1" t="s">
        <v>8</v>
      </c>
      <c r="E25" s="6">
        <v>43355</v>
      </c>
      <c r="F25" s="6">
        <v>48021</v>
      </c>
      <c r="G25" s="2">
        <v>152938475</v>
      </c>
      <c r="H25" s="3">
        <v>1.4E-2</v>
      </c>
      <c r="I25" s="7">
        <f t="shared" si="0"/>
        <v>12.777777777777779</v>
      </c>
    </row>
    <row r="26" spans="1:9" x14ac:dyDescent="0.25">
      <c r="A26" s="8" t="s">
        <v>31</v>
      </c>
      <c r="B26" s="1" t="str">
        <f t="shared" si="6"/>
        <v xml:space="preserve">Telecom Slovakia  </v>
      </c>
      <c r="C26" s="1" t="s">
        <v>130</v>
      </c>
      <c r="D26" s="1" t="s">
        <v>8</v>
      </c>
      <c r="E26" s="6">
        <v>43355</v>
      </c>
      <c r="F26" s="6">
        <v>48021</v>
      </c>
      <c r="G26" s="2">
        <v>487563920</v>
      </c>
      <c r="H26" s="3">
        <v>1.4E-2</v>
      </c>
      <c r="I26" s="7">
        <f t="shared" si="0"/>
        <v>12.777777777777779</v>
      </c>
    </row>
    <row r="27" spans="1:9" x14ac:dyDescent="0.25">
      <c r="A27" s="8" t="s">
        <v>31</v>
      </c>
      <c r="B27" s="1" t="str">
        <f t="shared" si="6"/>
        <v xml:space="preserve">Telecom Tanzania  </v>
      </c>
      <c r="C27" s="1" t="s">
        <v>131</v>
      </c>
      <c r="D27" s="1" t="s">
        <v>8</v>
      </c>
      <c r="E27" s="6">
        <v>43355</v>
      </c>
      <c r="F27" s="6">
        <v>48021</v>
      </c>
      <c r="G27" s="2">
        <v>20938475</v>
      </c>
      <c r="H27" s="3">
        <v>1.4E-2</v>
      </c>
      <c r="I27" s="7">
        <f t="shared" si="0"/>
        <v>12.777777777777779</v>
      </c>
    </row>
    <row r="28" spans="1:9" x14ac:dyDescent="0.25">
      <c r="A28" s="7" t="s">
        <v>32</v>
      </c>
      <c r="B28" s="1" t="str">
        <f t="shared" ref="B28:B45" si="7">"Government of "&amp;C28</f>
        <v xml:space="preserve">Government of Uganda  </v>
      </c>
      <c r="C28" s="1" t="s">
        <v>132</v>
      </c>
      <c r="D28" s="1" t="s">
        <v>8</v>
      </c>
      <c r="E28" s="6">
        <v>45904</v>
      </c>
      <c r="F28" s="6">
        <v>47177</v>
      </c>
      <c r="G28" s="2">
        <v>78492013</v>
      </c>
      <c r="H28" s="3">
        <v>1.4E-2</v>
      </c>
      <c r="I28" s="7">
        <f t="shared" si="0"/>
        <v>3.4833333333333334</v>
      </c>
    </row>
    <row r="29" spans="1:9" x14ac:dyDescent="0.25">
      <c r="A29" s="7" t="s">
        <v>33</v>
      </c>
      <c r="B29" s="1" t="str">
        <f t="shared" si="7"/>
        <v xml:space="preserve">Government of Croatia  </v>
      </c>
      <c r="C29" s="1" t="s">
        <v>133</v>
      </c>
      <c r="D29" s="1" t="s">
        <v>8</v>
      </c>
      <c r="E29" s="6">
        <v>43514</v>
      </c>
      <c r="F29" s="6">
        <v>49112</v>
      </c>
      <c r="G29" s="2">
        <v>112938475</v>
      </c>
      <c r="H29" s="3">
        <v>1.4E-2</v>
      </c>
      <c r="I29" s="7">
        <f t="shared" si="0"/>
        <v>15.330555555555556</v>
      </c>
    </row>
    <row r="30" spans="1:9" x14ac:dyDescent="0.25">
      <c r="A30" s="7" t="s">
        <v>34</v>
      </c>
      <c r="B30" s="1" t="str">
        <f t="shared" ref="B30:B33" si="8">"Utility of "&amp;C30</f>
        <v xml:space="preserve">Utility of Albania  </v>
      </c>
      <c r="C30" s="1" t="s">
        <v>134</v>
      </c>
      <c r="D30" s="1" t="s">
        <v>8</v>
      </c>
      <c r="E30" s="6">
        <v>45073</v>
      </c>
      <c r="F30" s="6">
        <v>46634</v>
      </c>
      <c r="G30" s="2">
        <v>245789320</v>
      </c>
      <c r="H30" s="3">
        <v>1.4E-2</v>
      </c>
      <c r="I30" s="7">
        <f t="shared" si="0"/>
        <v>4.2694444444444448</v>
      </c>
    </row>
    <row r="31" spans="1:9" x14ac:dyDescent="0.25">
      <c r="A31" s="7" t="s">
        <v>35</v>
      </c>
      <c r="B31" s="1" t="str">
        <f t="shared" si="8"/>
        <v xml:space="preserve">Utility of Zambia  </v>
      </c>
      <c r="C31" s="1" t="s">
        <v>135</v>
      </c>
      <c r="D31" s="1" t="s">
        <v>8</v>
      </c>
      <c r="E31" s="6">
        <v>44478</v>
      </c>
      <c r="F31" s="6">
        <v>48173</v>
      </c>
      <c r="G31" s="2">
        <v>39847502</v>
      </c>
      <c r="H31" s="3">
        <v>1.4E-2</v>
      </c>
      <c r="I31" s="7">
        <f t="shared" si="0"/>
        <v>10.116666666666667</v>
      </c>
    </row>
    <row r="32" spans="1:9" x14ac:dyDescent="0.25">
      <c r="A32" s="7" t="s">
        <v>36</v>
      </c>
      <c r="B32" s="1" t="str">
        <f t="shared" si="8"/>
        <v xml:space="preserve">Utility of Zimbabwe  </v>
      </c>
      <c r="C32" s="1" t="s">
        <v>136</v>
      </c>
      <c r="D32" s="1" t="s">
        <v>8</v>
      </c>
      <c r="E32" s="6">
        <v>45455</v>
      </c>
      <c r="F32" s="6">
        <v>48648</v>
      </c>
      <c r="G32" s="2">
        <v>675849302</v>
      </c>
      <c r="H32" s="3">
        <v>1.4E-2</v>
      </c>
      <c r="I32" s="7">
        <f t="shared" si="0"/>
        <v>8.7444444444444436</v>
      </c>
    </row>
    <row r="33" spans="1:9" x14ac:dyDescent="0.25">
      <c r="A33" s="7" t="s">
        <v>37</v>
      </c>
      <c r="B33" s="1" t="str">
        <f t="shared" si="8"/>
        <v xml:space="preserve">Utility of Bosnia and Herzegovina  </v>
      </c>
      <c r="C33" s="1" t="s">
        <v>137</v>
      </c>
      <c r="D33" s="1" t="s">
        <v>8</v>
      </c>
      <c r="E33" s="6">
        <v>43920</v>
      </c>
      <c r="F33" s="6">
        <v>46963</v>
      </c>
      <c r="G33" s="2">
        <v>183947502</v>
      </c>
      <c r="H33" s="3">
        <v>1.4E-2</v>
      </c>
      <c r="I33" s="7">
        <f t="shared" si="0"/>
        <v>8.3305555555555557</v>
      </c>
    </row>
    <row r="34" spans="1:9" x14ac:dyDescent="0.25">
      <c r="A34" s="7" t="s">
        <v>38</v>
      </c>
      <c r="B34" s="1" t="str">
        <f t="shared" si="7"/>
        <v xml:space="preserve">Government of North Macedonia  </v>
      </c>
      <c r="C34" s="1" t="s">
        <v>138</v>
      </c>
      <c r="D34" s="1" t="s">
        <v>8</v>
      </c>
      <c r="E34" s="6">
        <v>45662</v>
      </c>
      <c r="F34" s="6">
        <v>47489</v>
      </c>
      <c r="G34" s="2">
        <v>294857103</v>
      </c>
      <c r="H34" s="3">
        <v>1.223E-2</v>
      </c>
      <c r="I34" s="7">
        <f t="shared" si="0"/>
        <v>5.0027777777777782</v>
      </c>
    </row>
    <row r="35" spans="1:9" x14ac:dyDescent="0.25">
      <c r="A35" s="7" t="s">
        <v>39</v>
      </c>
      <c r="B35" s="1" t="str">
        <f t="shared" si="7"/>
        <v xml:space="preserve">Government of Senegal  </v>
      </c>
      <c r="C35" s="1" t="s">
        <v>139</v>
      </c>
      <c r="D35" s="1" t="s">
        <v>8</v>
      </c>
      <c r="E35" s="6">
        <v>43301</v>
      </c>
      <c r="F35" s="6">
        <v>48347</v>
      </c>
      <c r="G35" s="2">
        <v>57483920</v>
      </c>
      <c r="H35" s="3">
        <v>1.223E-2</v>
      </c>
      <c r="I35" s="7">
        <f t="shared" si="0"/>
        <v>13.813888888888888</v>
      </c>
    </row>
    <row r="36" spans="1:9" x14ac:dyDescent="0.25">
      <c r="A36" s="7" t="s">
        <v>40</v>
      </c>
      <c r="B36" s="1" t="str">
        <f>"Utility of "&amp;C36</f>
        <v xml:space="preserve">Utility of Ivory Coast  </v>
      </c>
      <c r="C36" s="1" t="s">
        <v>140</v>
      </c>
      <c r="D36" s="1" t="s">
        <v>8</v>
      </c>
      <c r="E36" s="6">
        <v>44662</v>
      </c>
      <c r="F36" s="6">
        <v>46691</v>
      </c>
      <c r="G36" s="2">
        <v>839475201</v>
      </c>
      <c r="H36" s="3">
        <v>1.223E-2</v>
      </c>
      <c r="I36" s="7">
        <f t="shared" si="0"/>
        <v>5.5555555555555554</v>
      </c>
    </row>
    <row r="37" spans="1:9" x14ac:dyDescent="0.25">
      <c r="A37" s="7" t="s">
        <v>41</v>
      </c>
      <c r="B37" s="1" t="str">
        <f t="shared" si="7"/>
        <v xml:space="preserve">Government of Lithuania  </v>
      </c>
      <c r="C37" s="1" t="s">
        <v>141</v>
      </c>
      <c r="D37" s="1" t="s">
        <v>8</v>
      </c>
      <c r="E37" s="6">
        <v>45286</v>
      </c>
      <c r="F37" s="6">
        <v>49054</v>
      </c>
      <c r="G37" s="2">
        <v>102938475</v>
      </c>
      <c r="H37" s="3">
        <v>1.223E-2</v>
      </c>
      <c r="I37" s="7">
        <f t="shared" si="0"/>
        <v>10.316666666666666</v>
      </c>
    </row>
    <row r="38" spans="1:9" x14ac:dyDescent="0.25">
      <c r="A38" s="7" t="s">
        <v>42</v>
      </c>
      <c r="B38" s="1" t="str">
        <f t="shared" si="7"/>
        <v xml:space="preserve">Government of Latvia  </v>
      </c>
      <c r="C38" s="1" t="s">
        <v>142</v>
      </c>
      <c r="D38" s="1" t="s">
        <v>8</v>
      </c>
      <c r="E38" s="6">
        <v>44262</v>
      </c>
      <c r="F38" s="6">
        <v>47368</v>
      </c>
      <c r="G38" s="2">
        <v>256789034</v>
      </c>
      <c r="H38" s="3">
        <v>1.223E-2</v>
      </c>
      <c r="I38" s="7">
        <f t="shared" si="0"/>
        <v>8.5</v>
      </c>
    </row>
    <row r="39" spans="1:9" x14ac:dyDescent="0.25">
      <c r="A39" s="7" t="s">
        <v>43</v>
      </c>
      <c r="B39" s="1" t="str">
        <f t="shared" si="7"/>
        <v xml:space="preserve">Government of Estonia  </v>
      </c>
      <c r="C39" s="1" t="s">
        <v>143</v>
      </c>
      <c r="D39" s="1" t="s">
        <v>8</v>
      </c>
      <c r="E39" s="6">
        <v>45519</v>
      </c>
      <c r="F39" s="6">
        <v>48925</v>
      </c>
      <c r="G39" s="2">
        <v>48920375</v>
      </c>
      <c r="H39" s="3">
        <v>1.223E-2</v>
      </c>
      <c r="I39" s="7">
        <f t="shared" si="0"/>
        <v>9.3249999999999993</v>
      </c>
    </row>
    <row r="40" spans="1:9" x14ac:dyDescent="0.25">
      <c r="A40" s="7" t="s">
        <v>44</v>
      </c>
      <c r="B40" s="1" t="str">
        <f t="shared" si="7"/>
        <v xml:space="preserve">Government of Kosovo  </v>
      </c>
      <c r="C40" s="1" t="s">
        <v>144</v>
      </c>
      <c r="D40" s="1" t="s">
        <v>8</v>
      </c>
      <c r="E40" s="6">
        <v>43771</v>
      </c>
      <c r="F40" s="6">
        <v>46563</v>
      </c>
      <c r="G40" s="2">
        <v>164839205</v>
      </c>
      <c r="H40" s="3">
        <v>1.223E-2</v>
      </c>
      <c r="I40" s="7">
        <f t="shared" si="0"/>
        <v>7.6472222222222221</v>
      </c>
    </row>
    <row r="41" spans="1:9" x14ac:dyDescent="0.25">
      <c r="A41" s="7" t="s">
        <v>45</v>
      </c>
      <c r="B41" s="1" t="str">
        <f t="shared" si="7"/>
        <v xml:space="preserve">Government of Montenegro  </v>
      </c>
      <c r="C41" s="1" t="s">
        <v>145</v>
      </c>
      <c r="D41" s="1" t="s">
        <v>8</v>
      </c>
      <c r="E41" s="6">
        <v>45765</v>
      </c>
      <c r="F41" s="6">
        <v>48245</v>
      </c>
      <c r="G41" s="2">
        <v>278394650</v>
      </c>
      <c r="H41" s="3">
        <v>1.223E-2</v>
      </c>
      <c r="I41" s="7">
        <f t="shared" si="0"/>
        <v>6.7861111111111114</v>
      </c>
    </row>
    <row r="42" spans="1:9" x14ac:dyDescent="0.25">
      <c r="A42" s="8" t="s">
        <v>46</v>
      </c>
      <c r="B42" s="1" t="str">
        <f t="shared" si="7"/>
        <v xml:space="preserve">Government of Moldova  </v>
      </c>
      <c r="C42" s="1" t="s">
        <v>146</v>
      </c>
      <c r="D42" s="1" t="s">
        <v>8</v>
      </c>
      <c r="E42" s="6">
        <v>44006</v>
      </c>
      <c r="F42" s="6">
        <v>47710</v>
      </c>
      <c r="G42" s="2">
        <v>59384720</v>
      </c>
      <c r="H42" s="3">
        <v>1.223E-2</v>
      </c>
      <c r="I42" s="7">
        <f t="shared" si="0"/>
        <v>10.141666666666667</v>
      </c>
    </row>
    <row r="43" spans="1:9" x14ac:dyDescent="0.25">
      <c r="A43" s="8" t="s">
        <v>46</v>
      </c>
      <c r="B43" s="1" t="str">
        <f t="shared" si="7"/>
        <v xml:space="preserve">Government of Georgia  </v>
      </c>
      <c r="C43" s="1" t="s">
        <v>147</v>
      </c>
      <c r="D43" s="1" t="s">
        <v>8</v>
      </c>
      <c r="E43" s="6">
        <v>44006</v>
      </c>
      <c r="F43" s="6">
        <v>47710</v>
      </c>
      <c r="G43" s="2">
        <v>138475920</v>
      </c>
      <c r="H43" s="3">
        <v>1.223E-2</v>
      </c>
      <c r="I43" s="7">
        <f t="shared" si="0"/>
        <v>10.141666666666667</v>
      </c>
    </row>
    <row r="44" spans="1:9" x14ac:dyDescent="0.25">
      <c r="A44" s="8" t="s">
        <v>46</v>
      </c>
      <c r="B44" s="1" t="str">
        <f t="shared" si="7"/>
        <v xml:space="preserve">Government of Armenia  </v>
      </c>
      <c r="C44" s="1" t="s">
        <v>148</v>
      </c>
      <c r="D44" s="1" t="s">
        <v>8</v>
      </c>
      <c r="E44" s="6">
        <v>44006</v>
      </c>
      <c r="F44" s="6">
        <v>47710</v>
      </c>
      <c r="G44" s="2">
        <v>247593801</v>
      </c>
      <c r="H44" s="3">
        <v>1.223E-2</v>
      </c>
      <c r="I44" s="7">
        <f t="shared" si="0"/>
        <v>10.141666666666667</v>
      </c>
    </row>
    <row r="45" spans="1:9" x14ac:dyDescent="0.25">
      <c r="A45" s="8" t="s">
        <v>46</v>
      </c>
      <c r="B45" s="1" t="str">
        <f t="shared" si="7"/>
        <v xml:space="preserve">Government of Azerbaijan  </v>
      </c>
      <c r="C45" s="1" t="s">
        <v>149</v>
      </c>
      <c r="D45" s="1" t="s">
        <v>8</v>
      </c>
      <c r="E45" s="6">
        <v>44006</v>
      </c>
      <c r="F45" s="6">
        <v>47710</v>
      </c>
      <c r="G45" s="2">
        <v>67548392</v>
      </c>
      <c r="H45" s="3">
        <v>1.223E-2</v>
      </c>
      <c r="I45" s="7">
        <f t="shared" si="0"/>
        <v>10.141666666666667</v>
      </c>
    </row>
    <row r="46" spans="1:9" x14ac:dyDescent="0.25">
      <c r="A46" s="8" t="s">
        <v>46</v>
      </c>
      <c r="B46" s="1" t="str">
        <f t="shared" ref="B46:B49" si="9">"Telecom "&amp;C46</f>
        <v xml:space="preserve">Telecom Kenya  </v>
      </c>
      <c r="C46" s="1" t="s">
        <v>118</v>
      </c>
      <c r="D46" s="1" t="s">
        <v>8</v>
      </c>
      <c r="E46" s="6">
        <v>44006</v>
      </c>
      <c r="F46" s="6">
        <v>47710</v>
      </c>
      <c r="G46" s="2">
        <v>294857320</v>
      </c>
      <c r="H46" s="3">
        <v>2.8000000000000001E-2</v>
      </c>
      <c r="I46" s="7">
        <f t="shared" si="0"/>
        <v>10.141666666666667</v>
      </c>
    </row>
    <row r="47" spans="1:9" x14ac:dyDescent="0.25">
      <c r="A47" s="8" t="s">
        <v>46</v>
      </c>
      <c r="B47" s="1" t="str">
        <f t="shared" si="9"/>
        <v xml:space="preserve">Telecom Nigeria  </v>
      </c>
      <c r="C47" s="1" t="s">
        <v>127</v>
      </c>
      <c r="D47" s="1" t="s">
        <v>8</v>
      </c>
      <c r="E47" s="6">
        <v>44006</v>
      </c>
      <c r="F47" s="6">
        <v>47710</v>
      </c>
      <c r="G47" s="2">
        <v>108394756</v>
      </c>
      <c r="H47" s="3">
        <v>2.8000000000000001E-2</v>
      </c>
      <c r="I47" s="7">
        <f t="shared" si="0"/>
        <v>10.141666666666667</v>
      </c>
    </row>
    <row r="48" spans="1:9" x14ac:dyDescent="0.25">
      <c r="A48" s="8" t="s">
        <v>46</v>
      </c>
      <c r="B48" s="1" t="str">
        <f t="shared" si="9"/>
        <v xml:space="preserve">Telecom Ghana  </v>
      </c>
      <c r="C48" s="1" t="s">
        <v>121</v>
      </c>
      <c r="D48" s="1" t="s">
        <v>8</v>
      </c>
      <c r="E48" s="6">
        <v>44006</v>
      </c>
      <c r="F48" s="6">
        <v>47710</v>
      </c>
      <c r="G48" s="2">
        <v>238947501</v>
      </c>
      <c r="H48" s="3">
        <v>2.8000000000000001E-2</v>
      </c>
      <c r="I48" s="7">
        <f t="shared" si="0"/>
        <v>10.141666666666667</v>
      </c>
    </row>
    <row r="49" spans="1:9" x14ac:dyDescent="0.25">
      <c r="A49" s="8" t="s">
        <v>46</v>
      </c>
      <c r="B49" s="1" t="str">
        <f t="shared" si="9"/>
        <v xml:space="preserve">Telecom Egypt  </v>
      </c>
      <c r="C49" s="1" t="s">
        <v>150</v>
      </c>
      <c r="D49" s="1" t="s">
        <v>8</v>
      </c>
      <c r="E49" s="6">
        <v>44006</v>
      </c>
      <c r="F49" s="6">
        <v>47710</v>
      </c>
      <c r="G49" s="2">
        <v>75938420</v>
      </c>
      <c r="H49" s="3">
        <v>2.8000000000000001E-2</v>
      </c>
      <c r="I49" s="7">
        <f t="shared" si="0"/>
        <v>10.141666666666667</v>
      </c>
    </row>
    <row r="50" spans="1:9" x14ac:dyDescent="0.25">
      <c r="A50" s="8" t="s">
        <v>46</v>
      </c>
      <c r="B50" s="1" t="str">
        <f t="shared" ref="B50:B65" si="10">"Government of "&amp;C50</f>
        <v xml:space="preserve">Government of Algeria  </v>
      </c>
      <c r="C50" s="1" t="s">
        <v>151</v>
      </c>
      <c r="D50" s="1" t="s">
        <v>8</v>
      </c>
      <c r="E50" s="6">
        <v>44006</v>
      </c>
      <c r="F50" s="6">
        <v>47710</v>
      </c>
      <c r="G50" s="2">
        <v>183947560</v>
      </c>
      <c r="H50" s="3">
        <v>2.8000000000000001E-2</v>
      </c>
      <c r="I50" s="7">
        <f t="shared" si="0"/>
        <v>10.141666666666667</v>
      </c>
    </row>
    <row r="51" spans="1:9" x14ac:dyDescent="0.25">
      <c r="A51" s="8" t="s">
        <v>46</v>
      </c>
      <c r="B51" s="1" t="str">
        <f t="shared" si="10"/>
        <v xml:space="preserve">Government of Morocco  </v>
      </c>
      <c r="C51" s="1" t="s">
        <v>123</v>
      </c>
      <c r="D51" s="1" t="s">
        <v>8</v>
      </c>
      <c r="E51" s="6">
        <v>44006</v>
      </c>
      <c r="F51" s="6">
        <v>47710</v>
      </c>
      <c r="G51" s="2">
        <v>293847501</v>
      </c>
      <c r="H51" s="3">
        <v>2.8000000000000001E-2</v>
      </c>
      <c r="I51" s="7">
        <f t="shared" si="0"/>
        <v>10.141666666666667</v>
      </c>
    </row>
    <row r="52" spans="1:9" x14ac:dyDescent="0.25">
      <c r="A52" s="8" t="s">
        <v>46</v>
      </c>
      <c r="B52" s="1" t="str">
        <f t="shared" si="10"/>
        <v xml:space="preserve">Government of Tunisia  </v>
      </c>
      <c r="C52" s="1" t="s">
        <v>124</v>
      </c>
      <c r="D52" s="1" t="s">
        <v>8</v>
      </c>
      <c r="E52" s="6">
        <v>44006</v>
      </c>
      <c r="F52" s="6">
        <v>47710</v>
      </c>
      <c r="G52" s="2">
        <v>65839420</v>
      </c>
      <c r="H52" s="3">
        <v>2.8000000000000001E-2</v>
      </c>
      <c r="I52" s="7">
        <f t="shared" si="0"/>
        <v>10.141666666666667</v>
      </c>
    </row>
    <row r="53" spans="1:9" x14ac:dyDescent="0.25">
      <c r="A53" s="8" t="s">
        <v>46</v>
      </c>
      <c r="B53" s="1" t="str">
        <f t="shared" si="10"/>
        <v xml:space="preserve">Government of South Africa  </v>
      </c>
      <c r="C53" s="1" t="s">
        <v>152</v>
      </c>
      <c r="D53" s="1" t="s">
        <v>8</v>
      </c>
      <c r="E53" s="6">
        <v>44006</v>
      </c>
      <c r="F53" s="6">
        <v>47710</v>
      </c>
      <c r="G53" s="2">
        <v>119283746</v>
      </c>
      <c r="H53" s="3">
        <v>2.8000000000000001E-2</v>
      </c>
      <c r="I53" s="7">
        <f t="shared" si="0"/>
        <v>10.141666666666667</v>
      </c>
    </row>
    <row r="54" spans="1:9" x14ac:dyDescent="0.25">
      <c r="A54" s="8" t="s">
        <v>46</v>
      </c>
      <c r="B54" s="1" t="str">
        <f t="shared" ref="B54:B56" si="11">"Utility of "&amp;C54</f>
        <v xml:space="preserve">Utility of Namibia  </v>
      </c>
      <c r="C54" s="1" t="s">
        <v>153</v>
      </c>
      <c r="D54" s="1" t="s">
        <v>8</v>
      </c>
      <c r="E54" s="6">
        <v>44006</v>
      </c>
      <c r="F54" s="6">
        <v>47710</v>
      </c>
      <c r="G54" s="2">
        <v>274839205</v>
      </c>
      <c r="H54" s="3">
        <v>2.8000000000000001E-2</v>
      </c>
      <c r="I54" s="7">
        <f t="shared" si="0"/>
        <v>10.141666666666667</v>
      </c>
    </row>
    <row r="55" spans="1:9" x14ac:dyDescent="0.25">
      <c r="A55" s="7" t="s">
        <v>47</v>
      </c>
      <c r="B55" s="1" t="str">
        <f t="shared" si="11"/>
        <v xml:space="preserve">Utility of Botswana  </v>
      </c>
      <c r="C55" s="1" t="s">
        <v>154</v>
      </c>
      <c r="D55" s="1" t="s">
        <v>8</v>
      </c>
      <c r="E55" s="6">
        <v>44591</v>
      </c>
      <c r="F55" s="6">
        <v>47338</v>
      </c>
      <c r="G55" s="2">
        <v>38947502</v>
      </c>
      <c r="H55" s="3">
        <v>2.8000000000000001E-2</v>
      </c>
      <c r="I55" s="7">
        <f t="shared" si="0"/>
        <v>7.5222222222222221</v>
      </c>
    </row>
    <row r="56" spans="1:9" x14ac:dyDescent="0.25">
      <c r="A56" s="7" t="s">
        <v>48</v>
      </c>
      <c r="B56" s="1" t="str">
        <f t="shared" si="11"/>
        <v xml:space="preserve">Utility of Angola  </v>
      </c>
      <c r="C56" s="1" t="s">
        <v>155</v>
      </c>
      <c r="D56" s="1" t="s">
        <v>8</v>
      </c>
      <c r="E56" s="6">
        <v>45881</v>
      </c>
      <c r="F56" s="6">
        <v>47928</v>
      </c>
      <c r="G56" s="2">
        <v>84930275</v>
      </c>
      <c r="H56" s="3">
        <v>2.8000000000000001E-2</v>
      </c>
      <c r="I56" s="7">
        <f t="shared" si="0"/>
        <v>5.6083333333333334</v>
      </c>
    </row>
    <row r="57" spans="1:9" x14ac:dyDescent="0.25">
      <c r="A57" s="7" t="s">
        <v>49</v>
      </c>
      <c r="B57" s="1" t="str">
        <f t="shared" si="10"/>
        <v xml:space="preserve">Government of Mozambique  </v>
      </c>
      <c r="C57" s="1" t="s">
        <v>156</v>
      </c>
      <c r="D57" s="1" t="s">
        <v>8</v>
      </c>
      <c r="E57" s="6">
        <v>43882</v>
      </c>
      <c r="F57" s="6">
        <v>49080</v>
      </c>
      <c r="G57" s="2">
        <v>159384720</v>
      </c>
      <c r="H57" s="3">
        <v>2.8000000000000001E-2</v>
      </c>
      <c r="I57" s="7">
        <f t="shared" si="0"/>
        <v>14.236111111111111</v>
      </c>
    </row>
    <row r="58" spans="1:9" x14ac:dyDescent="0.25">
      <c r="A58" s="7" t="s">
        <v>50</v>
      </c>
      <c r="B58" s="1" t="str">
        <f t="shared" si="10"/>
        <v xml:space="preserve">Government of Madagascar  </v>
      </c>
      <c r="C58" s="1" t="s">
        <v>157</v>
      </c>
      <c r="D58" s="1" t="s">
        <v>8</v>
      </c>
      <c r="E58" s="6">
        <v>45052</v>
      </c>
      <c r="F58" s="6">
        <v>47085</v>
      </c>
      <c r="G58" s="2">
        <v>203948576</v>
      </c>
      <c r="H58" s="3">
        <v>2.8000000000000001E-2</v>
      </c>
      <c r="I58" s="7">
        <f t="shared" si="0"/>
        <v>5.5611111111111109</v>
      </c>
    </row>
    <row r="59" spans="1:9" x14ac:dyDescent="0.25">
      <c r="A59" s="7" t="s">
        <v>51</v>
      </c>
      <c r="B59" s="1" t="str">
        <f t="shared" si="10"/>
        <v xml:space="preserve">Government of Cameroon  </v>
      </c>
      <c r="C59" s="1" t="s">
        <v>158</v>
      </c>
      <c r="D59" s="1" t="s">
        <v>8</v>
      </c>
      <c r="E59" s="6">
        <v>45583</v>
      </c>
      <c r="F59" s="6">
        <v>47671</v>
      </c>
      <c r="G59" s="2">
        <v>73485920</v>
      </c>
      <c r="H59" s="3">
        <v>2.8000000000000001E-2</v>
      </c>
      <c r="I59" s="7">
        <f t="shared" si="0"/>
        <v>5.7194444444444441</v>
      </c>
    </row>
    <row r="60" spans="1:9" x14ac:dyDescent="0.25">
      <c r="A60" s="8" t="s">
        <v>52</v>
      </c>
      <c r="B60" s="1" t="str">
        <f t="shared" si="10"/>
        <v xml:space="preserve">Government of Rwanda  </v>
      </c>
      <c r="C60" s="1" t="s">
        <v>159</v>
      </c>
      <c r="D60" s="1" t="s">
        <v>8</v>
      </c>
      <c r="E60" s="6">
        <v>44380</v>
      </c>
      <c r="F60" s="6">
        <v>48603</v>
      </c>
      <c r="G60" s="2">
        <v>198374650</v>
      </c>
      <c r="H60" s="3">
        <v>0.03</v>
      </c>
      <c r="I60" s="7">
        <f t="shared" si="0"/>
        <v>11.558333333333334</v>
      </c>
    </row>
    <row r="61" spans="1:9" x14ac:dyDescent="0.25">
      <c r="A61" s="8" t="s">
        <v>52</v>
      </c>
      <c r="B61" s="1" t="str">
        <f t="shared" si="10"/>
        <v xml:space="preserve">Government of Burundi  </v>
      </c>
      <c r="C61" s="1" t="s">
        <v>160</v>
      </c>
      <c r="D61" s="1" t="s">
        <v>8</v>
      </c>
      <c r="E61" s="6">
        <v>44380</v>
      </c>
      <c r="F61" s="6">
        <v>48603</v>
      </c>
      <c r="G61" s="2">
        <v>284750193</v>
      </c>
      <c r="H61" s="3">
        <v>0.03</v>
      </c>
      <c r="I61" s="7">
        <f t="shared" si="0"/>
        <v>11.558333333333334</v>
      </c>
    </row>
    <row r="62" spans="1:9" x14ac:dyDescent="0.25">
      <c r="A62" s="8" t="s">
        <v>52</v>
      </c>
      <c r="B62" s="1" t="str">
        <f t="shared" si="10"/>
        <v xml:space="preserve">Government of Malawi  </v>
      </c>
      <c r="C62" s="1" t="s">
        <v>161</v>
      </c>
      <c r="D62" s="1" t="s">
        <v>8</v>
      </c>
      <c r="E62" s="6">
        <v>44380</v>
      </c>
      <c r="F62" s="6">
        <v>48603</v>
      </c>
      <c r="G62" s="2">
        <v>64930285</v>
      </c>
      <c r="H62" s="3">
        <v>0.03</v>
      </c>
      <c r="I62" s="7">
        <f t="shared" si="0"/>
        <v>11.558333333333334</v>
      </c>
    </row>
    <row r="63" spans="1:9" x14ac:dyDescent="0.25">
      <c r="A63" s="8" t="s">
        <v>52</v>
      </c>
      <c r="B63" s="1" t="str">
        <f t="shared" si="10"/>
        <v xml:space="preserve">Government of Zambia  </v>
      </c>
      <c r="C63" s="1" t="s">
        <v>135</v>
      </c>
      <c r="D63" s="1" t="s">
        <v>8</v>
      </c>
      <c r="E63" s="6">
        <v>44380</v>
      </c>
      <c r="F63" s="6">
        <v>48603</v>
      </c>
      <c r="G63" s="2">
        <v>112839475</v>
      </c>
      <c r="H63" s="3">
        <v>0.03</v>
      </c>
      <c r="I63" s="7">
        <f t="shared" si="0"/>
        <v>11.558333333333334</v>
      </c>
    </row>
    <row r="64" spans="1:9" x14ac:dyDescent="0.25">
      <c r="A64" s="8" t="s">
        <v>52</v>
      </c>
      <c r="B64" s="1" t="str">
        <f t="shared" si="10"/>
        <v xml:space="preserve">Government of Zimbabwe  </v>
      </c>
      <c r="C64" s="1" t="s">
        <v>136</v>
      </c>
      <c r="D64" s="1" t="s">
        <v>8</v>
      </c>
      <c r="E64" s="6">
        <v>44380</v>
      </c>
      <c r="F64" s="6">
        <v>48603</v>
      </c>
      <c r="G64" s="2">
        <v>267394850</v>
      </c>
      <c r="H64" s="3">
        <v>0.03</v>
      </c>
      <c r="I64" s="7">
        <f t="shared" si="0"/>
        <v>11.558333333333334</v>
      </c>
    </row>
    <row r="65" spans="1:9" x14ac:dyDescent="0.25">
      <c r="A65" s="8" t="s">
        <v>52</v>
      </c>
      <c r="B65" s="1" t="str">
        <f t="shared" si="10"/>
        <v xml:space="preserve">Government of Uganda  </v>
      </c>
      <c r="C65" s="1" t="s">
        <v>132</v>
      </c>
      <c r="D65" s="1" t="s">
        <v>8</v>
      </c>
      <c r="E65" s="6">
        <v>44380</v>
      </c>
      <c r="F65" s="6">
        <v>48603</v>
      </c>
      <c r="G65" s="2">
        <v>39485720</v>
      </c>
      <c r="H65" s="3">
        <v>0.03</v>
      </c>
      <c r="I65" s="7">
        <f t="shared" si="0"/>
        <v>11.558333333333334</v>
      </c>
    </row>
    <row r="66" spans="1:9" x14ac:dyDescent="0.25">
      <c r="A66" s="8" t="s">
        <v>52</v>
      </c>
      <c r="B66" s="1" t="str">
        <f t="shared" ref="B66:B71" si="12">"Telecom "&amp;C66</f>
        <v xml:space="preserve">Telecom Tanzania  </v>
      </c>
      <c r="C66" s="1" t="s">
        <v>131</v>
      </c>
      <c r="D66" s="1" t="s">
        <v>8</v>
      </c>
      <c r="E66" s="6">
        <v>44380</v>
      </c>
      <c r="F66" s="6">
        <v>48603</v>
      </c>
      <c r="G66" s="2">
        <v>98430275</v>
      </c>
      <c r="H66" s="3">
        <v>0.03</v>
      </c>
      <c r="I66" s="7">
        <f t="shared" si="0"/>
        <v>11.558333333333334</v>
      </c>
    </row>
    <row r="67" spans="1:9" x14ac:dyDescent="0.25">
      <c r="A67" s="8" t="s">
        <v>52</v>
      </c>
      <c r="B67" s="1" t="str">
        <f t="shared" si="12"/>
        <v xml:space="preserve">Telecom Ethiopia  </v>
      </c>
      <c r="C67" s="1" t="s">
        <v>128</v>
      </c>
      <c r="D67" s="1" t="s">
        <v>8</v>
      </c>
      <c r="E67" s="6">
        <v>44380</v>
      </c>
      <c r="F67" s="6">
        <v>48603</v>
      </c>
      <c r="G67" s="2">
        <v>150293847</v>
      </c>
      <c r="H67" s="3">
        <v>0.03</v>
      </c>
      <c r="I67" s="7">
        <f t="shared" ref="I67:I130" si="13">YEARFRAC(E67,F67)</f>
        <v>11.558333333333334</v>
      </c>
    </row>
    <row r="68" spans="1:9" x14ac:dyDescent="0.25">
      <c r="A68" s="8" t="s">
        <v>52</v>
      </c>
      <c r="B68" s="1" t="str">
        <f t="shared" si="12"/>
        <v xml:space="preserve">Telecom Somalia  </v>
      </c>
      <c r="C68" s="1" t="s">
        <v>162</v>
      </c>
      <c r="D68" s="1" t="s">
        <v>8</v>
      </c>
      <c r="E68" s="6">
        <v>44380</v>
      </c>
      <c r="F68" s="6">
        <v>48603</v>
      </c>
      <c r="G68" s="2">
        <v>263947501</v>
      </c>
      <c r="H68" s="3">
        <v>0.03</v>
      </c>
      <c r="I68" s="7">
        <f t="shared" si="13"/>
        <v>11.558333333333334</v>
      </c>
    </row>
    <row r="69" spans="1:9" x14ac:dyDescent="0.25">
      <c r="A69" s="8" t="s">
        <v>52</v>
      </c>
      <c r="B69" s="1" t="str">
        <f t="shared" si="12"/>
        <v xml:space="preserve">Telecom Djibouti  </v>
      </c>
      <c r="C69" s="1" t="s">
        <v>163</v>
      </c>
      <c r="D69" s="1" t="s">
        <v>8</v>
      </c>
      <c r="E69" s="6">
        <v>44380</v>
      </c>
      <c r="F69" s="6">
        <v>48603</v>
      </c>
      <c r="G69" s="2">
        <v>54839201</v>
      </c>
      <c r="H69" s="3">
        <v>0.03</v>
      </c>
      <c r="I69" s="7">
        <f t="shared" si="13"/>
        <v>11.558333333333334</v>
      </c>
    </row>
    <row r="70" spans="1:9" x14ac:dyDescent="0.25">
      <c r="A70" s="8" t="s">
        <v>52</v>
      </c>
      <c r="B70" s="1" t="str">
        <f t="shared" si="12"/>
        <v xml:space="preserve">Telecom Eritrea  </v>
      </c>
      <c r="C70" s="1" t="s">
        <v>164</v>
      </c>
      <c r="D70" s="1" t="s">
        <v>8</v>
      </c>
      <c r="E70" s="6">
        <v>44380</v>
      </c>
      <c r="F70" s="6">
        <v>48603</v>
      </c>
      <c r="G70" s="2">
        <v>209384756</v>
      </c>
      <c r="H70" s="3">
        <v>0.03</v>
      </c>
      <c r="I70" s="7">
        <f t="shared" si="13"/>
        <v>11.558333333333334</v>
      </c>
    </row>
    <row r="71" spans="1:9" x14ac:dyDescent="0.25">
      <c r="A71" s="8" t="s">
        <v>52</v>
      </c>
      <c r="B71" s="1" t="str">
        <f t="shared" si="12"/>
        <v xml:space="preserve">Telecom Sudan  </v>
      </c>
      <c r="C71" s="1" t="s">
        <v>165</v>
      </c>
      <c r="D71" s="1" t="s">
        <v>8</v>
      </c>
      <c r="E71" s="6">
        <v>44380</v>
      </c>
      <c r="F71" s="6">
        <v>48603</v>
      </c>
      <c r="G71" s="2">
        <v>173849205</v>
      </c>
      <c r="H71" s="3">
        <v>0.03</v>
      </c>
      <c r="I71" s="7">
        <f t="shared" si="13"/>
        <v>11.558333333333334</v>
      </c>
    </row>
    <row r="72" spans="1:9" x14ac:dyDescent="0.25">
      <c r="A72" s="8" t="s">
        <v>52</v>
      </c>
      <c r="B72" s="1" t="str">
        <f t="shared" ref="B72:B87" si="14">"Government of "&amp;C72</f>
        <v xml:space="preserve">Government of South Sudan  </v>
      </c>
      <c r="C72" s="1" t="s">
        <v>166</v>
      </c>
      <c r="D72" s="1" t="s">
        <v>8</v>
      </c>
      <c r="E72" s="6">
        <v>44380</v>
      </c>
      <c r="F72" s="6">
        <v>48603</v>
      </c>
      <c r="G72" s="2">
        <v>294857013</v>
      </c>
      <c r="H72" s="3">
        <v>0.03</v>
      </c>
      <c r="I72" s="7">
        <f t="shared" si="13"/>
        <v>11.558333333333334</v>
      </c>
    </row>
    <row r="73" spans="1:9" x14ac:dyDescent="0.25">
      <c r="A73" s="8" t="s">
        <v>52</v>
      </c>
      <c r="B73" s="1" t="str">
        <f t="shared" si="14"/>
        <v xml:space="preserve">Government of Chad  </v>
      </c>
      <c r="C73" s="1" t="s">
        <v>167</v>
      </c>
      <c r="D73" s="1" t="s">
        <v>8</v>
      </c>
      <c r="E73" s="6">
        <v>44380</v>
      </c>
      <c r="F73" s="6">
        <v>48603</v>
      </c>
      <c r="G73" s="2">
        <v>638475920</v>
      </c>
      <c r="H73" s="3">
        <v>0.03</v>
      </c>
      <c r="I73" s="7">
        <f t="shared" si="13"/>
        <v>11.558333333333334</v>
      </c>
    </row>
    <row r="74" spans="1:9" x14ac:dyDescent="0.25">
      <c r="A74" s="8" t="s">
        <v>52</v>
      </c>
      <c r="B74" s="1" t="str">
        <f t="shared" si="14"/>
        <v xml:space="preserve">Government of Niger  </v>
      </c>
      <c r="C74" s="1" t="s">
        <v>168</v>
      </c>
      <c r="D74" s="1" t="s">
        <v>8</v>
      </c>
      <c r="E74" s="6">
        <v>44380</v>
      </c>
      <c r="F74" s="6">
        <v>48603</v>
      </c>
      <c r="G74" s="2">
        <v>120394875</v>
      </c>
      <c r="H74" s="3">
        <v>0.03</v>
      </c>
      <c r="I74" s="7">
        <f t="shared" si="13"/>
        <v>11.558333333333334</v>
      </c>
    </row>
    <row r="75" spans="1:9" x14ac:dyDescent="0.25">
      <c r="A75" s="8" t="s">
        <v>52</v>
      </c>
      <c r="B75" s="1" t="str">
        <f t="shared" si="14"/>
        <v xml:space="preserve">Government of Mali  </v>
      </c>
      <c r="C75" s="1" t="s">
        <v>169</v>
      </c>
      <c r="D75" s="1" t="s">
        <v>8</v>
      </c>
      <c r="E75" s="6">
        <v>44380</v>
      </c>
      <c r="F75" s="6">
        <v>48603</v>
      </c>
      <c r="G75" s="2">
        <v>257483920</v>
      </c>
      <c r="H75" s="3">
        <v>0.03</v>
      </c>
      <c r="I75" s="7">
        <f t="shared" si="13"/>
        <v>11.558333333333334</v>
      </c>
    </row>
    <row r="76" spans="1:9" x14ac:dyDescent="0.25">
      <c r="A76" s="8" t="s">
        <v>52</v>
      </c>
      <c r="B76" s="1" t="str">
        <f t="shared" si="14"/>
        <v xml:space="preserve">Government of Burkina Faso  </v>
      </c>
      <c r="C76" s="1" t="s">
        <v>170</v>
      </c>
      <c r="D76" s="1" t="s">
        <v>8</v>
      </c>
      <c r="E76" s="6">
        <v>44380</v>
      </c>
      <c r="F76" s="6">
        <v>48603</v>
      </c>
      <c r="G76" s="2">
        <v>87459302</v>
      </c>
      <c r="H76" s="3">
        <v>0.03</v>
      </c>
      <c r="I76" s="7">
        <f t="shared" si="13"/>
        <v>11.558333333333334</v>
      </c>
    </row>
    <row r="77" spans="1:9" x14ac:dyDescent="0.25">
      <c r="A77" s="8" t="s">
        <v>52</v>
      </c>
      <c r="B77" s="1" t="str">
        <f t="shared" ref="B77:B79" si="15">"Utility of "&amp;C77</f>
        <v xml:space="preserve">Utility of Senegal  </v>
      </c>
      <c r="C77" s="1" t="s">
        <v>139</v>
      </c>
      <c r="D77" s="1" t="s">
        <v>8</v>
      </c>
      <c r="E77" s="6">
        <v>44380</v>
      </c>
      <c r="F77" s="6">
        <v>48603</v>
      </c>
      <c r="G77" s="2">
        <v>139284750</v>
      </c>
      <c r="H77" s="3">
        <v>0.03</v>
      </c>
      <c r="I77" s="7">
        <f t="shared" si="13"/>
        <v>11.558333333333334</v>
      </c>
    </row>
    <row r="78" spans="1:9" x14ac:dyDescent="0.25">
      <c r="A78" s="8" t="s">
        <v>52</v>
      </c>
      <c r="B78" s="1" t="str">
        <f t="shared" si="15"/>
        <v xml:space="preserve">Utility of Gambia  </v>
      </c>
      <c r="C78" s="1" t="s">
        <v>171</v>
      </c>
      <c r="D78" s="1" t="s">
        <v>8</v>
      </c>
      <c r="E78" s="6">
        <v>44380</v>
      </c>
      <c r="F78" s="6">
        <v>48603</v>
      </c>
      <c r="G78" s="2">
        <v>298374650</v>
      </c>
      <c r="H78" s="3">
        <v>0.03</v>
      </c>
      <c r="I78" s="7">
        <f t="shared" si="13"/>
        <v>11.558333333333334</v>
      </c>
    </row>
    <row r="79" spans="1:9" x14ac:dyDescent="0.25">
      <c r="A79" s="8" t="s">
        <v>52</v>
      </c>
      <c r="B79" s="1" t="str">
        <f t="shared" si="15"/>
        <v xml:space="preserve">Utility of Guinea  </v>
      </c>
      <c r="C79" s="1" t="s">
        <v>172</v>
      </c>
      <c r="D79" s="1" t="s">
        <v>8</v>
      </c>
      <c r="E79" s="6">
        <v>44380</v>
      </c>
      <c r="F79" s="6">
        <v>48603</v>
      </c>
      <c r="G79" s="2">
        <v>54783920</v>
      </c>
      <c r="H79" s="3">
        <v>2.8000000000000001E-2</v>
      </c>
      <c r="I79" s="7">
        <f t="shared" si="13"/>
        <v>11.558333333333334</v>
      </c>
    </row>
    <row r="80" spans="1:9" x14ac:dyDescent="0.25">
      <c r="A80" s="8" t="s">
        <v>52</v>
      </c>
      <c r="B80" s="1" t="str">
        <f t="shared" si="14"/>
        <v xml:space="preserve">Government of Sierra Leone  </v>
      </c>
      <c r="C80" s="1" t="s">
        <v>173</v>
      </c>
      <c r="D80" s="1" t="s">
        <v>8</v>
      </c>
      <c r="E80" s="6">
        <v>44380</v>
      </c>
      <c r="F80" s="6">
        <v>48603</v>
      </c>
      <c r="G80" s="2">
        <v>183947205</v>
      </c>
      <c r="H80" s="3">
        <v>2.8000000000000001E-2</v>
      </c>
      <c r="I80" s="7">
        <f t="shared" si="13"/>
        <v>11.558333333333334</v>
      </c>
    </row>
    <row r="81" spans="1:9" x14ac:dyDescent="0.25">
      <c r="A81" s="7" t="s">
        <v>53</v>
      </c>
      <c r="B81" s="1" t="str">
        <f t="shared" si="14"/>
        <v xml:space="preserve">Government of Liberia  </v>
      </c>
      <c r="C81" s="1" t="s">
        <v>174</v>
      </c>
      <c r="D81" s="1" t="s">
        <v>8</v>
      </c>
      <c r="E81" s="6">
        <v>45692</v>
      </c>
      <c r="F81" s="6">
        <v>46583</v>
      </c>
      <c r="G81" s="2">
        <v>264839750</v>
      </c>
      <c r="H81" s="3">
        <v>2.8000000000000001E-2</v>
      </c>
      <c r="I81" s="7">
        <f t="shared" si="13"/>
        <v>2.4472222222222224</v>
      </c>
    </row>
    <row r="82" spans="1:9" x14ac:dyDescent="0.25">
      <c r="A82" s="7" t="s">
        <v>54</v>
      </c>
      <c r="B82" s="1" t="str">
        <f t="shared" si="14"/>
        <v xml:space="preserve">Government of Togo  </v>
      </c>
      <c r="C82" s="1" t="s">
        <v>175</v>
      </c>
      <c r="D82" s="1" t="s">
        <v>8</v>
      </c>
      <c r="E82" s="6">
        <v>44035</v>
      </c>
      <c r="F82" s="6">
        <v>47965</v>
      </c>
      <c r="G82" s="2">
        <v>73948520</v>
      </c>
      <c r="H82" s="3">
        <v>2.8000000000000001E-2</v>
      </c>
      <c r="I82" s="7">
        <f t="shared" si="13"/>
        <v>10.761111111111111</v>
      </c>
    </row>
    <row r="83" spans="1:9" x14ac:dyDescent="0.25">
      <c r="A83" s="7" t="s">
        <v>55</v>
      </c>
      <c r="B83" s="1" t="str">
        <f t="shared" si="14"/>
        <v xml:space="preserve">Government of Benin  </v>
      </c>
      <c r="C83" s="1" t="s">
        <v>176</v>
      </c>
      <c r="D83" s="1" t="s">
        <v>8</v>
      </c>
      <c r="E83" s="6">
        <v>44573</v>
      </c>
      <c r="F83" s="6">
        <v>47456</v>
      </c>
      <c r="G83" s="2">
        <v>194857302</v>
      </c>
      <c r="H83" s="3">
        <v>2.8000000000000001E-2</v>
      </c>
      <c r="I83" s="7">
        <f t="shared" si="13"/>
        <v>7.8944444444444448</v>
      </c>
    </row>
    <row r="84" spans="1:9" x14ac:dyDescent="0.25">
      <c r="A84" s="7" t="s">
        <v>56</v>
      </c>
      <c r="B84" s="1" t="str">
        <f t="shared" si="14"/>
        <v xml:space="preserve">Government of Gabon  </v>
      </c>
      <c r="C84" s="1" t="s">
        <v>177</v>
      </c>
      <c r="D84" s="1" t="s">
        <v>8</v>
      </c>
      <c r="E84" s="6">
        <v>45443</v>
      </c>
      <c r="F84" s="6">
        <v>48385</v>
      </c>
      <c r="G84" s="2">
        <v>58203947</v>
      </c>
      <c r="H84" s="3">
        <v>2.8000000000000001E-2</v>
      </c>
      <c r="I84" s="7">
        <f t="shared" si="13"/>
        <v>8.0555555555555554</v>
      </c>
    </row>
    <row r="85" spans="1:9" x14ac:dyDescent="0.25">
      <c r="A85" s="7" t="s">
        <v>57</v>
      </c>
      <c r="B85" s="1" t="str">
        <f t="shared" si="14"/>
        <v xml:space="preserve">Government of Congo  </v>
      </c>
      <c r="C85" s="1" t="s">
        <v>178</v>
      </c>
      <c r="D85" s="1" t="s">
        <v>8</v>
      </c>
      <c r="E85" s="6">
        <v>43379</v>
      </c>
      <c r="F85" s="6">
        <v>49261</v>
      </c>
      <c r="G85" s="2">
        <v>239485760</v>
      </c>
      <c r="H85" s="3">
        <v>2.8000000000000001E-2</v>
      </c>
      <c r="I85" s="7">
        <f t="shared" si="13"/>
        <v>16.102777777777778</v>
      </c>
    </row>
    <row r="86" spans="1:9" x14ac:dyDescent="0.25">
      <c r="A86" s="7" t="s">
        <v>58</v>
      </c>
      <c r="B86" s="1" t="str">
        <f t="shared" si="14"/>
        <v xml:space="preserve">Government of DR Congo  </v>
      </c>
      <c r="C86" s="1" t="s">
        <v>179</v>
      </c>
      <c r="D86" s="1" t="s">
        <v>8</v>
      </c>
      <c r="E86" s="6">
        <v>45886</v>
      </c>
      <c r="F86" s="6">
        <v>46783</v>
      </c>
      <c r="G86" s="2">
        <v>168394205</v>
      </c>
      <c r="H86" s="3">
        <v>2.8000000000000001E-2</v>
      </c>
      <c r="I86" s="7">
        <f t="shared" si="13"/>
        <v>2.4555555555555557</v>
      </c>
    </row>
    <row r="87" spans="1:9" x14ac:dyDescent="0.25">
      <c r="A87" s="7" t="s">
        <v>59</v>
      </c>
      <c r="B87" s="1" t="str">
        <f t="shared" si="14"/>
        <v xml:space="preserve">Government of Central African Republic  </v>
      </c>
      <c r="C87" s="1" t="s">
        <v>180</v>
      </c>
      <c r="D87" s="1" t="s">
        <v>8</v>
      </c>
      <c r="E87" s="6">
        <v>45045</v>
      </c>
      <c r="F87" s="6">
        <v>47610</v>
      </c>
      <c r="G87" s="2">
        <v>297384650</v>
      </c>
      <c r="H87" s="3">
        <v>2.8000000000000001E-2</v>
      </c>
      <c r="I87" s="7">
        <f t="shared" si="13"/>
        <v>7.0222222222222221</v>
      </c>
    </row>
    <row r="88" spans="1:9" x14ac:dyDescent="0.25">
      <c r="A88" s="7" t="s">
        <v>60</v>
      </c>
      <c r="B88" s="1" t="str">
        <f t="shared" ref="B88:B93" si="16">"Telecom "&amp;C88</f>
        <v xml:space="preserve">Telecom Equatorial Guinea  </v>
      </c>
      <c r="C88" s="1" t="s">
        <v>181</v>
      </c>
      <c r="D88" s="1" t="s">
        <v>8</v>
      </c>
      <c r="E88" s="6">
        <v>43838</v>
      </c>
      <c r="F88" s="6">
        <v>48809</v>
      </c>
      <c r="G88" s="2">
        <v>64839205</v>
      </c>
      <c r="H88" s="3">
        <v>2.8000000000000001E-2</v>
      </c>
      <c r="I88" s="7">
        <f t="shared" si="13"/>
        <v>13.611111111111111</v>
      </c>
    </row>
    <row r="89" spans="1:9" x14ac:dyDescent="0.25">
      <c r="A89" s="7" t="s">
        <v>61</v>
      </c>
      <c r="B89" s="1" t="str">
        <f t="shared" si="16"/>
        <v xml:space="preserve">Telecom São Tomé and Príncipe  </v>
      </c>
      <c r="C89" s="1" t="s">
        <v>182</v>
      </c>
      <c r="D89" s="1" t="s">
        <v>8</v>
      </c>
      <c r="E89" s="6">
        <v>44733</v>
      </c>
      <c r="F89" s="6">
        <v>48333</v>
      </c>
      <c r="G89" s="2">
        <v>120394857</v>
      </c>
      <c r="H89" s="3">
        <v>2.8000000000000001E-2</v>
      </c>
      <c r="I89" s="7">
        <f t="shared" si="13"/>
        <v>9.8555555555555561</v>
      </c>
    </row>
    <row r="90" spans="1:9" x14ac:dyDescent="0.25">
      <c r="A90" s="7" t="s">
        <v>62</v>
      </c>
      <c r="B90" s="1" t="str">
        <f t="shared" si="16"/>
        <v xml:space="preserve">Telecom Cape Verde  </v>
      </c>
      <c r="C90" s="1" t="s">
        <v>183</v>
      </c>
      <c r="D90" s="1" t="s">
        <v>8</v>
      </c>
      <c r="E90" s="6">
        <v>45550</v>
      </c>
      <c r="F90" s="6">
        <v>48192</v>
      </c>
      <c r="G90" s="2">
        <v>257394801</v>
      </c>
      <c r="H90" s="3">
        <v>2.8000000000000001E-2</v>
      </c>
      <c r="I90" s="7">
        <f t="shared" si="13"/>
        <v>7.2361111111111107</v>
      </c>
    </row>
    <row r="91" spans="1:9" x14ac:dyDescent="0.25">
      <c r="A91" s="7" t="s">
        <v>63</v>
      </c>
      <c r="B91" s="1" t="str">
        <f t="shared" si="16"/>
        <v xml:space="preserve">Telecom Mauritania  </v>
      </c>
      <c r="C91" s="1" t="s">
        <v>184</v>
      </c>
      <c r="D91" s="1" t="s">
        <v>8</v>
      </c>
      <c r="E91" s="6">
        <v>44230</v>
      </c>
      <c r="F91" s="6">
        <v>46449</v>
      </c>
      <c r="G91" s="2">
        <v>98347520</v>
      </c>
      <c r="H91" s="3">
        <v>2.8000000000000001E-2</v>
      </c>
      <c r="I91" s="7">
        <f t="shared" si="13"/>
        <v>6.083333333333333</v>
      </c>
    </row>
    <row r="92" spans="1:9" x14ac:dyDescent="0.25">
      <c r="A92" s="7" t="s">
        <v>64</v>
      </c>
      <c r="B92" s="1" t="str">
        <f t="shared" si="16"/>
        <v xml:space="preserve">Telecom Seychelles  </v>
      </c>
      <c r="C92" s="1" t="s">
        <v>185</v>
      </c>
      <c r="D92" s="1" t="s">
        <v>8</v>
      </c>
      <c r="E92" s="6">
        <v>45771</v>
      </c>
      <c r="F92" s="6">
        <v>49212</v>
      </c>
      <c r="G92" s="2">
        <v>139847502</v>
      </c>
      <c r="H92" s="3">
        <v>2.8000000000000001E-2</v>
      </c>
      <c r="I92" s="7">
        <f t="shared" si="13"/>
        <v>9.4194444444444443</v>
      </c>
    </row>
    <row r="93" spans="1:9" x14ac:dyDescent="0.25">
      <c r="A93" s="7" t="s">
        <v>65</v>
      </c>
      <c r="B93" s="1" t="str">
        <f t="shared" si="16"/>
        <v xml:space="preserve">Telecom Comoros  </v>
      </c>
      <c r="C93" s="1" t="s">
        <v>186</v>
      </c>
      <c r="D93" s="1" t="s">
        <v>8</v>
      </c>
      <c r="E93" s="6">
        <v>43657</v>
      </c>
      <c r="F93" s="6">
        <v>47528</v>
      </c>
      <c r="G93" s="2">
        <v>264839705</v>
      </c>
      <c r="H93" s="3">
        <v>2.8000000000000001E-2</v>
      </c>
      <c r="I93" s="7">
        <f t="shared" si="13"/>
        <v>10.591666666666667</v>
      </c>
    </row>
    <row r="94" spans="1:9" x14ac:dyDescent="0.25">
      <c r="A94" s="7" t="s">
        <v>66</v>
      </c>
      <c r="B94" s="1" t="str">
        <f t="shared" ref="B94:B96" si="17">"Utility of "&amp;C94</f>
        <v xml:space="preserve">Utility of Mauritius  </v>
      </c>
      <c r="C94" s="1" t="s">
        <v>187</v>
      </c>
      <c r="D94" s="1" t="s">
        <v>8</v>
      </c>
      <c r="E94" s="6">
        <v>45074</v>
      </c>
      <c r="F94" s="6">
        <v>46940</v>
      </c>
      <c r="G94" s="2">
        <v>74839201</v>
      </c>
      <c r="H94" s="3">
        <v>2.8000000000000001E-2</v>
      </c>
      <c r="I94" s="7">
        <f t="shared" si="13"/>
        <v>5.1055555555555552</v>
      </c>
    </row>
    <row r="95" spans="1:9" x14ac:dyDescent="0.25">
      <c r="A95" s="7" t="s">
        <v>67</v>
      </c>
      <c r="B95" s="1" t="str">
        <f t="shared" si="17"/>
        <v xml:space="preserve">Utility of Lesotho  </v>
      </c>
      <c r="C95" s="1" t="s">
        <v>188</v>
      </c>
      <c r="D95" s="1" t="s">
        <v>8</v>
      </c>
      <c r="E95" s="6">
        <v>44079</v>
      </c>
      <c r="F95" s="6">
        <v>48873</v>
      </c>
      <c r="G95" s="2">
        <v>193847560</v>
      </c>
      <c r="H95" s="3">
        <v>2.8000000000000001E-2</v>
      </c>
      <c r="I95" s="7">
        <f t="shared" si="13"/>
        <v>13.127777777777778</v>
      </c>
    </row>
    <row r="96" spans="1:9" x14ac:dyDescent="0.25">
      <c r="A96" s="7" t="s">
        <v>68</v>
      </c>
      <c r="B96" s="1" t="str">
        <f t="shared" si="17"/>
        <v xml:space="preserve">Utility of Eswatini  </v>
      </c>
      <c r="C96" s="1" t="s">
        <v>189</v>
      </c>
      <c r="D96" s="1" t="s">
        <v>8</v>
      </c>
      <c r="E96" s="6">
        <v>44914</v>
      </c>
      <c r="F96" s="6">
        <v>47857</v>
      </c>
      <c r="G96" s="2">
        <v>284759301</v>
      </c>
      <c r="H96" s="3">
        <v>2.8000000000000001E-2</v>
      </c>
      <c r="I96" s="7">
        <f t="shared" si="13"/>
        <v>8.0555555555555554</v>
      </c>
    </row>
    <row r="97" spans="1:9" x14ac:dyDescent="0.25">
      <c r="A97" s="7" t="s">
        <v>69</v>
      </c>
      <c r="B97" s="1" t="str">
        <f t="shared" ref="B97:B112" si="18">"Government of "&amp;C97</f>
        <v xml:space="preserve">Government of Kenya  </v>
      </c>
      <c r="C97" s="1" t="s">
        <v>118</v>
      </c>
      <c r="D97" s="1" t="s">
        <v>8</v>
      </c>
      <c r="E97" s="6">
        <v>45301</v>
      </c>
      <c r="F97" s="6">
        <v>46537</v>
      </c>
      <c r="G97" s="2">
        <v>57384920</v>
      </c>
      <c r="H97" s="3">
        <v>0.03</v>
      </c>
      <c r="I97" s="7">
        <f t="shared" si="13"/>
        <v>3.3888888888888888</v>
      </c>
    </row>
    <row r="98" spans="1:9" x14ac:dyDescent="0.25">
      <c r="A98" s="7" t="s">
        <v>70</v>
      </c>
      <c r="B98" s="1" t="str">
        <f t="shared" si="18"/>
        <v xml:space="preserve">Government of Ghana  </v>
      </c>
      <c r="C98" s="1" t="s">
        <v>121</v>
      </c>
      <c r="D98" s="1" t="s">
        <v>8</v>
      </c>
      <c r="E98" s="6">
        <v>43186</v>
      </c>
      <c r="F98" s="6">
        <v>48285</v>
      </c>
      <c r="G98" s="2">
        <v>149283760</v>
      </c>
      <c r="H98" s="3">
        <v>0.03</v>
      </c>
      <c r="I98" s="7">
        <f t="shared" si="13"/>
        <v>13.958333333333334</v>
      </c>
    </row>
    <row r="99" spans="1:9" x14ac:dyDescent="0.25">
      <c r="A99" s="7" t="s">
        <v>71</v>
      </c>
      <c r="B99" s="1" t="str">
        <f t="shared" si="18"/>
        <v xml:space="preserve">Government of Nigeria  </v>
      </c>
      <c r="C99" s="1" t="s">
        <v>127</v>
      </c>
      <c r="D99" s="1" t="s">
        <v>8</v>
      </c>
      <c r="E99" s="6">
        <v>44422</v>
      </c>
      <c r="F99" s="6">
        <v>49180</v>
      </c>
      <c r="G99" s="2">
        <v>230948756</v>
      </c>
      <c r="H99" s="3">
        <v>0.03</v>
      </c>
      <c r="I99" s="7">
        <f t="shared" si="13"/>
        <v>13.027777777777779</v>
      </c>
    </row>
    <row r="100" spans="1:9" x14ac:dyDescent="0.25">
      <c r="A100" s="7" t="s">
        <v>72</v>
      </c>
      <c r="B100" s="1" t="str">
        <f t="shared" si="18"/>
        <v xml:space="preserve">Government of Morocco  </v>
      </c>
      <c r="C100" s="1" t="s">
        <v>123</v>
      </c>
      <c r="D100" s="1" t="s">
        <v>8</v>
      </c>
      <c r="E100" s="6">
        <v>45779</v>
      </c>
      <c r="F100" s="6">
        <v>47427</v>
      </c>
      <c r="G100" s="2">
        <v>67483920</v>
      </c>
      <c r="H100" s="3">
        <v>0.03</v>
      </c>
      <c r="I100" s="7">
        <f t="shared" si="13"/>
        <v>4.5083333333333337</v>
      </c>
    </row>
    <row r="101" spans="1:9" x14ac:dyDescent="0.25">
      <c r="A101" s="7" t="s">
        <v>73</v>
      </c>
      <c r="B101" s="1" t="str">
        <f t="shared" si="18"/>
        <v xml:space="preserve">Government of Egypt  </v>
      </c>
      <c r="C101" s="1" t="s">
        <v>150</v>
      </c>
      <c r="D101" s="1" t="s">
        <v>8</v>
      </c>
      <c r="E101" s="6">
        <v>44772</v>
      </c>
      <c r="F101" s="6">
        <v>47590</v>
      </c>
      <c r="G101" s="2">
        <v>198374502</v>
      </c>
      <c r="H101" s="3">
        <v>0.03</v>
      </c>
      <c r="I101" s="7">
        <f t="shared" si="13"/>
        <v>7.7138888888888886</v>
      </c>
    </row>
    <row r="102" spans="1:9" x14ac:dyDescent="0.25">
      <c r="A102" s="7" t="s">
        <v>74</v>
      </c>
      <c r="B102" s="1" t="str">
        <f t="shared" ref="B102:B105" si="19">"Utility of "&amp;C102</f>
        <v xml:space="preserve">Utility of Algeria  </v>
      </c>
      <c r="C102" s="1" t="s">
        <v>151</v>
      </c>
      <c r="D102" s="1" t="s">
        <v>8</v>
      </c>
      <c r="E102" s="6">
        <v>43724</v>
      </c>
      <c r="F102" s="6">
        <v>48027</v>
      </c>
      <c r="G102" s="2">
        <v>259384701</v>
      </c>
      <c r="H102" s="3">
        <v>0.03</v>
      </c>
      <c r="I102" s="7">
        <f t="shared" si="13"/>
        <v>11.783333333333333</v>
      </c>
    </row>
    <row r="103" spans="1:9" x14ac:dyDescent="0.25">
      <c r="A103" s="7" t="s">
        <v>75</v>
      </c>
      <c r="B103" s="1" t="str">
        <f t="shared" si="19"/>
        <v xml:space="preserve">Utility of Tunisia  </v>
      </c>
      <c r="C103" s="1" t="s">
        <v>124</v>
      </c>
      <c r="D103" s="1" t="s">
        <v>8</v>
      </c>
      <c r="E103" s="6">
        <v>44933</v>
      </c>
      <c r="F103" s="6">
        <v>46998</v>
      </c>
      <c r="G103" s="2">
        <v>38475029</v>
      </c>
      <c r="H103" s="3">
        <v>0.03</v>
      </c>
      <c r="I103" s="7">
        <f t="shared" si="13"/>
        <v>5.6527777777777777</v>
      </c>
    </row>
    <row r="104" spans="1:9" x14ac:dyDescent="0.25">
      <c r="A104" s="7" t="s">
        <v>76</v>
      </c>
      <c r="B104" s="1" t="str">
        <f t="shared" si="19"/>
        <v xml:space="preserve">Utility of South Africa  </v>
      </c>
      <c r="C104" s="1" t="s">
        <v>152</v>
      </c>
      <c r="D104" s="1" t="s">
        <v>8</v>
      </c>
      <c r="E104" s="6">
        <v>45587</v>
      </c>
      <c r="F104" s="6">
        <v>48598</v>
      </c>
      <c r="G104" s="2">
        <v>94837205</v>
      </c>
      <c r="H104" s="3">
        <v>0.03</v>
      </c>
      <c r="I104" s="7">
        <f t="shared" si="13"/>
        <v>8.2416666666666671</v>
      </c>
    </row>
    <row r="105" spans="1:9" x14ac:dyDescent="0.25">
      <c r="A105" s="7" t="s">
        <v>77</v>
      </c>
      <c r="B105" s="1" t="str">
        <f t="shared" si="19"/>
        <v xml:space="preserve">Utility of Namibia  </v>
      </c>
      <c r="C105" s="1" t="s">
        <v>153</v>
      </c>
      <c r="D105" s="1" t="s">
        <v>8</v>
      </c>
      <c r="E105" s="6">
        <v>43991</v>
      </c>
      <c r="F105" s="6">
        <v>49072</v>
      </c>
      <c r="G105" s="2">
        <v>167394820</v>
      </c>
      <c r="H105" s="3">
        <v>0.03</v>
      </c>
      <c r="I105" s="7">
        <f t="shared" si="13"/>
        <v>13.91388888888889</v>
      </c>
    </row>
    <row r="106" spans="1:9" x14ac:dyDescent="0.25">
      <c r="A106" s="7" t="s">
        <v>78</v>
      </c>
      <c r="B106" s="1" t="str">
        <f t="shared" si="18"/>
        <v xml:space="preserve">Government of Botswana  </v>
      </c>
      <c r="C106" s="1" t="s">
        <v>154</v>
      </c>
      <c r="D106" s="1" t="s">
        <v>8</v>
      </c>
      <c r="E106" s="6">
        <v>44645</v>
      </c>
      <c r="F106" s="6">
        <v>48541</v>
      </c>
      <c r="G106" s="2">
        <v>283947560</v>
      </c>
      <c r="H106" s="3">
        <v>0.03</v>
      </c>
      <c r="I106" s="7">
        <f t="shared" si="13"/>
        <v>10.661111111111111</v>
      </c>
    </row>
    <row r="107" spans="1:9" x14ac:dyDescent="0.25">
      <c r="A107" s="7" t="s">
        <v>79</v>
      </c>
      <c r="B107" s="1" t="str">
        <f t="shared" si="18"/>
        <v xml:space="preserve">Government of Angola  </v>
      </c>
      <c r="C107" s="1" t="s">
        <v>155</v>
      </c>
      <c r="D107" s="1" t="s">
        <v>8</v>
      </c>
      <c r="E107" s="6">
        <v>45675</v>
      </c>
      <c r="F107" s="6">
        <v>46579</v>
      </c>
      <c r="G107" s="2">
        <v>54930287</v>
      </c>
      <c r="H107" s="3">
        <v>0.03</v>
      </c>
      <c r="I107" s="7">
        <f t="shared" si="13"/>
        <v>2.4805555555555556</v>
      </c>
    </row>
    <row r="108" spans="1:9" x14ac:dyDescent="0.25">
      <c r="A108" s="7" t="s">
        <v>80</v>
      </c>
      <c r="B108" s="1" t="str">
        <f t="shared" si="18"/>
        <v xml:space="preserve">Government of Mozambique  </v>
      </c>
      <c r="C108" s="1" t="s">
        <v>156</v>
      </c>
      <c r="D108" s="1" t="s">
        <v>8</v>
      </c>
      <c r="E108" s="6">
        <v>43316</v>
      </c>
      <c r="F108" s="6">
        <v>47883</v>
      </c>
      <c r="G108" s="2">
        <v>209384750</v>
      </c>
      <c r="H108" s="3">
        <v>0.03</v>
      </c>
      <c r="I108" s="7">
        <f t="shared" si="13"/>
        <v>12.5</v>
      </c>
    </row>
    <row r="109" spans="1:9" x14ac:dyDescent="0.25">
      <c r="A109" s="7" t="s">
        <v>81</v>
      </c>
      <c r="B109" s="1" t="str">
        <f t="shared" si="18"/>
        <v xml:space="preserve">Government of Madagascar  </v>
      </c>
      <c r="C109" s="1" t="s">
        <v>157</v>
      </c>
      <c r="D109" s="1" t="s">
        <v>8</v>
      </c>
      <c r="E109" s="6">
        <v>45291</v>
      </c>
      <c r="F109" s="6">
        <v>49243</v>
      </c>
      <c r="G109" s="2">
        <v>174839260</v>
      </c>
      <c r="H109" s="3">
        <v>0.03</v>
      </c>
      <c r="I109" s="7">
        <f t="shared" si="13"/>
        <v>10.822222222222223</v>
      </c>
    </row>
    <row r="110" spans="1:9" x14ac:dyDescent="0.25">
      <c r="A110" s="7" t="s">
        <v>82</v>
      </c>
      <c r="B110" s="1" t="str">
        <f t="shared" si="18"/>
        <v xml:space="preserve">Government of Cameroon  </v>
      </c>
      <c r="C110" s="1" t="s">
        <v>158</v>
      </c>
      <c r="D110" s="1" t="s">
        <v>8</v>
      </c>
      <c r="E110" s="6">
        <v>44268</v>
      </c>
      <c r="F110" s="6">
        <v>47192</v>
      </c>
      <c r="G110" s="2">
        <v>294857320</v>
      </c>
      <c r="H110" s="3">
        <v>0.03</v>
      </c>
      <c r="I110" s="7">
        <f t="shared" si="13"/>
        <v>8.0055555555555564</v>
      </c>
    </row>
    <row r="111" spans="1:9" x14ac:dyDescent="0.25">
      <c r="A111" s="8" t="s">
        <v>83</v>
      </c>
      <c r="B111" s="1" t="str">
        <f t="shared" si="18"/>
        <v xml:space="preserve">Government of Rwanda  </v>
      </c>
      <c r="C111" s="1" t="s">
        <v>159</v>
      </c>
      <c r="D111" s="1" t="s">
        <v>8</v>
      </c>
      <c r="E111" s="6">
        <v>45616</v>
      </c>
      <c r="F111" s="6">
        <v>47824</v>
      </c>
      <c r="G111" s="2">
        <v>68394750</v>
      </c>
      <c r="H111" s="3">
        <v>0.03</v>
      </c>
      <c r="I111" s="7">
        <f t="shared" si="13"/>
        <v>6.0472222222222225</v>
      </c>
    </row>
    <row r="112" spans="1:9" x14ac:dyDescent="0.25">
      <c r="A112" s="8" t="s">
        <v>83</v>
      </c>
      <c r="B112" s="1" t="str">
        <f t="shared" si="18"/>
        <v xml:space="preserve">Government of Burundi  </v>
      </c>
      <c r="C112" s="1" t="s">
        <v>160</v>
      </c>
      <c r="D112" s="1" t="s">
        <v>8</v>
      </c>
      <c r="E112" s="6">
        <v>45616</v>
      </c>
      <c r="F112" s="6">
        <v>47824</v>
      </c>
      <c r="G112" s="2">
        <v>120394856</v>
      </c>
      <c r="H112" s="3">
        <v>0.03</v>
      </c>
      <c r="I112" s="7">
        <f t="shared" si="13"/>
        <v>6.0472222222222225</v>
      </c>
    </row>
    <row r="113" spans="1:9" x14ac:dyDescent="0.25">
      <c r="A113" s="8" t="s">
        <v>83</v>
      </c>
      <c r="B113" s="1" t="str">
        <f t="shared" ref="B113" si="20">"Telecom "&amp;C113</f>
        <v xml:space="preserve">Telecom Malawi  </v>
      </c>
      <c r="C113" s="1" t="s">
        <v>161</v>
      </c>
      <c r="D113" s="1" t="s">
        <v>8</v>
      </c>
      <c r="E113" s="6">
        <v>45616</v>
      </c>
      <c r="F113" s="6">
        <v>47824</v>
      </c>
      <c r="G113" s="2">
        <v>257394805</v>
      </c>
      <c r="H113" s="3">
        <v>0.03</v>
      </c>
      <c r="I113" s="7">
        <f t="shared" si="13"/>
        <v>6.0472222222222225</v>
      </c>
    </row>
    <row r="114" spans="1:9" x14ac:dyDescent="0.25">
      <c r="A114" s="8" t="s">
        <v>83</v>
      </c>
      <c r="B114" s="1" t="str">
        <f t="shared" ref="B114:B118" si="21">"Utility of "&amp;C114</f>
        <v xml:space="preserve">Utility of Zambia  </v>
      </c>
      <c r="C114" s="1" t="s">
        <v>135</v>
      </c>
      <c r="D114" s="1" t="s">
        <v>8</v>
      </c>
      <c r="E114" s="6">
        <v>45616</v>
      </c>
      <c r="F114" s="6">
        <v>47824</v>
      </c>
      <c r="G114" s="2">
        <v>87349502</v>
      </c>
      <c r="H114" s="3">
        <v>0.03</v>
      </c>
      <c r="I114" s="7">
        <f t="shared" si="13"/>
        <v>6.0472222222222225</v>
      </c>
    </row>
    <row r="115" spans="1:9" x14ac:dyDescent="0.25">
      <c r="A115" s="8" t="s">
        <v>83</v>
      </c>
      <c r="B115" s="1" t="str">
        <f t="shared" si="21"/>
        <v xml:space="preserve">Utility of Zimbabwe  </v>
      </c>
      <c r="C115" s="1" t="s">
        <v>136</v>
      </c>
      <c r="D115" s="1" t="s">
        <v>8</v>
      </c>
      <c r="E115" s="6">
        <v>45616</v>
      </c>
      <c r="F115" s="6">
        <v>47824</v>
      </c>
      <c r="G115" s="2">
        <v>139284705</v>
      </c>
      <c r="H115" s="3">
        <v>0.03</v>
      </c>
      <c r="I115" s="7">
        <f t="shared" si="13"/>
        <v>6.0472222222222225</v>
      </c>
    </row>
    <row r="116" spans="1:9" x14ac:dyDescent="0.25">
      <c r="A116" s="8" t="s">
        <v>83</v>
      </c>
      <c r="B116" s="1" t="str">
        <f t="shared" si="21"/>
        <v xml:space="preserve">Utility of Uganda  </v>
      </c>
      <c r="C116" s="1" t="s">
        <v>132</v>
      </c>
      <c r="D116" s="1" t="s">
        <v>8</v>
      </c>
      <c r="E116" s="6">
        <v>45616</v>
      </c>
      <c r="F116" s="6">
        <v>47824</v>
      </c>
      <c r="G116" s="2">
        <v>298374605</v>
      </c>
      <c r="H116" s="3">
        <v>0.03</v>
      </c>
      <c r="I116" s="7">
        <f t="shared" si="13"/>
        <v>6.0472222222222225</v>
      </c>
    </row>
    <row r="117" spans="1:9" x14ac:dyDescent="0.25">
      <c r="A117" s="8" t="s">
        <v>83</v>
      </c>
      <c r="B117" s="1" t="str">
        <f t="shared" si="21"/>
        <v xml:space="preserve">Utility of Tanzania  </v>
      </c>
      <c r="C117" s="1" t="s">
        <v>131</v>
      </c>
      <c r="D117" s="1" t="s">
        <v>8</v>
      </c>
      <c r="E117" s="6">
        <v>45616</v>
      </c>
      <c r="F117" s="6">
        <v>47824</v>
      </c>
      <c r="G117" s="2">
        <v>54783902</v>
      </c>
      <c r="H117" s="3">
        <v>0.03</v>
      </c>
      <c r="I117" s="7">
        <f t="shared" si="13"/>
        <v>6.0472222222222225</v>
      </c>
    </row>
    <row r="118" spans="1:9" x14ac:dyDescent="0.25">
      <c r="A118" s="8" t="s">
        <v>83</v>
      </c>
      <c r="B118" s="1" t="str">
        <f t="shared" si="21"/>
        <v xml:space="preserve">Utility of Ethiopia  </v>
      </c>
      <c r="C118" s="1" t="s">
        <v>128</v>
      </c>
      <c r="D118" s="1" t="s">
        <v>8</v>
      </c>
      <c r="E118" s="6">
        <v>45616</v>
      </c>
      <c r="F118" s="6">
        <v>47824</v>
      </c>
      <c r="G118" s="2">
        <v>183947250</v>
      </c>
      <c r="H118" s="3">
        <v>0.03</v>
      </c>
      <c r="I118" s="7">
        <f t="shared" si="13"/>
        <v>6.0472222222222225</v>
      </c>
    </row>
    <row r="119" spans="1:9" x14ac:dyDescent="0.25">
      <c r="A119" s="8" t="s">
        <v>83</v>
      </c>
      <c r="B119" s="1" t="str">
        <f t="shared" ref="B119:B135" si="22">"Government of "&amp;C119</f>
        <v xml:space="preserve">Government of Senegal  </v>
      </c>
      <c r="C119" s="1" t="s">
        <v>139</v>
      </c>
      <c r="D119" s="1" t="s">
        <v>8</v>
      </c>
      <c r="E119" s="6">
        <v>45616</v>
      </c>
      <c r="F119" s="6">
        <v>47824</v>
      </c>
      <c r="G119" s="2">
        <v>264839750</v>
      </c>
      <c r="H119" s="3">
        <v>0.03</v>
      </c>
      <c r="I119" s="7">
        <f t="shared" si="13"/>
        <v>6.0472222222222225</v>
      </c>
    </row>
    <row r="120" spans="1:9" x14ac:dyDescent="0.25">
      <c r="A120" s="8" t="s">
        <v>83</v>
      </c>
      <c r="B120" s="1" t="str">
        <f t="shared" si="22"/>
        <v xml:space="preserve">Government of Ivory Coast  </v>
      </c>
      <c r="C120" s="1" t="s">
        <v>140</v>
      </c>
      <c r="D120" s="1" t="s">
        <v>8</v>
      </c>
      <c r="E120" s="6">
        <v>45616</v>
      </c>
      <c r="F120" s="6">
        <v>47824</v>
      </c>
      <c r="G120" s="2">
        <v>73948502</v>
      </c>
      <c r="H120" s="3">
        <v>0.03</v>
      </c>
      <c r="I120" s="7">
        <f t="shared" si="13"/>
        <v>6.0472222222222225</v>
      </c>
    </row>
    <row r="121" spans="1:9" x14ac:dyDescent="0.25">
      <c r="A121" s="8" t="s">
        <v>83</v>
      </c>
      <c r="B121" s="1" t="str">
        <f t="shared" si="22"/>
        <v xml:space="preserve">Government of Togo  </v>
      </c>
      <c r="C121" s="1" t="s">
        <v>175</v>
      </c>
      <c r="D121" s="1" t="s">
        <v>8</v>
      </c>
      <c r="E121" s="6">
        <v>45616</v>
      </c>
      <c r="F121" s="6">
        <v>47824</v>
      </c>
      <c r="G121" s="2">
        <v>194857320</v>
      </c>
      <c r="H121" s="3">
        <v>0.03</v>
      </c>
      <c r="I121" s="7">
        <f t="shared" si="13"/>
        <v>6.0472222222222225</v>
      </c>
    </row>
    <row r="122" spans="1:9" x14ac:dyDescent="0.25">
      <c r="A122" s="8" t="s">
        <v>83</v>
      </c>
      <c r="B122" s="1" t="str">
        <f t="shared" si="22"/>
        <v xml:space="preserve">Government of Benin  </v>
      </c>
      <c r="C122" s="1" t="s">
        <v>176</v>
      </c>
      <c r="D122" s="1" t="s">
        <v>8</v>
      </c>
      <c r="E122" s="6">
        <v>45616</v>
      </c>
      <c r="F122" s="6">
        <v>47824</v>
      </c>
      <c r="G122" s="2">
        <v>58203974</v>
      </c>
      <c r="H122" s="3">
        <v>0.03</v>
      </c>
      <c r="I122" s="7">
        <f t="shared" si="13"/>
        <v>6.0472222222222225</v>
      </c>
    </row>
    <row r="123" spans="1:9" x14ac:dyDescent="0.25">
      <c r="A123" s="8" t="s">
        <v>83</v>
      </c>
      <c r="B123" s="1" t="str">
        <f t="shared" si="22"/>
        <v xml:space="preserve">Government of Gabon  </v>
      </c>
      <c r="C123" s="1" t="s">
        <v>177</v>
      </c>
      <c r="D123" s="1" t="s">
        <v>8</v>
      </c>
      <c r="E123" s="6">
        <v>45616</v>
      </c>
      <c r="F123" s="6">
        <v>47824</v>
      </c>
      <c r="G123" s="2">
        <v>239485706</v>
      </c>
      <c r="H123" s="3">
        <v>0.03</v>
      </c>
      <c r="I123" s="7">
        <f t="shared" si="13"/>
        <v>6.0472222222222225</v>
      </c>
    </row>
    <row r="124" spans="1:9" x14ac:dyDescent="0.25">
      <c r="A124" s="7" t="s">
        <v>84</v>
      </c>
      <c r="B124" s="1" t="str">
        <f t="shared" si="22"/>
        <v xml:space="preserve">Government of Congo  </v>
      </c>
      <c r="C124" s="1" t="s">
        <v>178</v>
      </c>
      <c r="D124" s="1" t="s">
        <v>8</v>
      </c>
      <c r="E124" s="6">
        <v>44377</v>
      </c>
      <c r="F124" s="6">
        <v>48314</v>
      </c>
      <c r="G124" s="2">
        <v>168394250</v>
      </c>
      <c r="H124" s="3">
        <v>0.03</v>
      </c>
      <c r="I124" s="7">
        <f t="shared" si="13"/>
        <v>10.777777777777779</v>
      </c>
    </row>
    <row r="125" spans="1:9" x14ac:dyDescent="0.25">
      <c r="A125" s="7" t="s">
        <v>85</v>
      </c>
      <c r="B125" s="1" t="str">
        <f t="shared" si="22"/>
        <v xml:space="preserve">Government of DR Congo  </v>
      </c>
      <c r="C125" s="1" t="s">
        <v>179</v>
      </c>
      <c r="D125" s="1" t="s">
        <v>8</v>
      </c>
      <c r="E125" s="6">
        <v>44179</v>
      </c>
      <c r="F125" s="6">
        <v>47538</v>
      </c>
      <c r="G125" s="2">
        <v>297384605</v>
      </c>
      <c r="H125" s="3">
        <v>0.03</v>
      </c>
      <c r="I125" s="7">
        <f t="shared" si="13"/>
        <v>9.1944444444444446</v>
      </c>
    </row>
    <row r="126" spans="1:9" x14ac:dyDescent="0.25">
      <c r="A126" s="7" t="s">
        <v>86</v>
      </c>
      <c r="B126" s="1" t="str">
        <f t="shared" si="22"/>
        <v xml:space="preserve">Government of Poland  </v>
      </c>
      <c r="C126" s="1" t="s">
        <v>119</v>
      </c>
      <c r="D126" s="1" t="s">
        <v>8</v>
      </c>
      <c r="E126" s="6">
        <v>45190</v>
      </c>
      <c r="F126" s="6">
        <v>47033</v>
      </c>
      <c r="G126" s="2">
        <v>64839250</v>
      </c>
      <c r="H126" s="3">
        <v>0.03</v>
      </c>
      <c r="I126" s="7">
        <f t="shared" si="13"/>
        <v>5.0444444444444443</v>
      </c>
    </row>
    <row r="127" spans="1:9" x14ac:dyDescent="0.25">
      <c r="A127" s="7" t="s">
        <v>87</v>
      </c>
      <c r="B127" s="1" t="str">
        <f t="shared" ref="B127:B128" si="23">"Utility of "&amp;C127</f>
        <v xml:space="preserve">Utility of Romania  </v>
      </c>
      <c r="C127" s="1" t="s">
        <v>120</v>
      </c>
      <c r="D127" s="1" t="s">
        <v>8</v>
      </c>
      <c r="E127" s="6">
        <v>44660</v>
      </c>
      <c r="F127" s="6">
        <v>49168</v>
      </c>
      <c r="G127" s="2">
        <v>120394875</v>
      </c>
      <c r="H127" s="3">
        <v>0.03</v>
      </c>
      <c r="I127" s="7">
        <f t="shared" si="13"/>
        <v>12.341666666666667</v>
      </c>
    </row>
    <row r="128" spans="1:9" x14ac:dyDescent="0.25">
      <c r="A128" s="7" t="s">
        <v>88</v>
      </c>
      <c r="B128" s="1" t="str">
        <f t="shared" si="23"/>
        <v xml:space="preserve">Utility of Bulgaria  </v>
      </c>
      <c r="C128" s="1" t="s">
        <v>126</v>
      </c>
      <c r="D128" s="1" t="s">
        <v>8</v>
      </c>
      <c r="E128" s="6">
        <v>45864</v>
      </c>
      <c r="F128" s="6">
        <v>48718</v>
      </c>
      <c r="G128" s="2">
        <v>257483902</v>
      </c>
      <c r="H128" s="3">
        <v>0.03</v>
      </c>
      <c r="I128" s="7">
        <f t="shared" si="13"/>
        <v>7.8138888888888891</v>
      </c>
    </row>
    <row r="129" spans="1:9" x14ac:dyDescent="0.25">
      <c r="A129" s="7" t="s">
        <v>89</v>
      </c>
      <c r="B129" s="1" t="str">
        <f t="shared" si="22"/>
        <v xml:space="preserve">Government of Hungary  </v>
      </c>
      <c r="C129" s="1" t="s">
        <v>125</v>
      </c>
      <c r="D129" s="1" t="s">
        <v>8</v>
      </c>
      <c r="E129" s="6">
        <v>43603</v>
      </c>
      <c r="F129" s="6">
        <v>47938</v>
      </c>
      <c r="G129" s="2">
        <v>98347502</v>
      </c>
      <c r="H129" s="3">
        <v>0.03</v>
      </c>
      <c r="I129" s="7">
        <f t="shared" si="13"/>
        <v>11.869444444444444</v>
      </c>
    </row>
    <row r="130" spans="1:9" x14ac:dyDescent="0.25">
      <c r="A130" s="7" t="s">
        <v>90</v>
      </c>
      <c r="B130" s="1" t="str">
        <f t="shared" si="22"/>
        <v xml:space="preserve">Government of Czechia  </v>
      </c>
      <c r="C130" s="1" t="s">
        <v>129</v>
      </c>
      <c r="D130" s="1" t="s">
        <v>8</v>
      </c>
      <c r="E130" s="6">
        <v>45603</v>
      </c>
      <c r="F130" s="6">
        <v>49129</v>
      </c>
      <c r="G130" s="2">
        <v>139847520</v>
      </c>
      <c r="H130" s="3">
        <v>0.03</v>
      </c>
      <c r="I130" s="7">
        <f t="shared" si="13"/>
        <v>9.6583333333333332</v>
      </c>
    </row>
    <row r="131" spans="1:9" x14ac:dyDescent="0.25">
      <c r="A131" s="7" t="s">
        <v>91</v>
      </c>
      <c r="B131" s="1" t="str">
        <f t="shared" si="22"/>
        <v xml:space="preserve">Government of Slovakia  </v>
      </c>
      <c r="C131" s="1" t="s">
        <v>130</v>
      </c>
      <c r="D131" s="1" t="s">
        <v>8</v>
      </c>
      <c r="E131" s="6">
        <v>44256</v>
      </c>
      <c r="F131" s="6">
        <v>48360</v>
      </c>
      <c r="G131" s="2">
        <v>264839705</v>
      </c>
      <c r="H131" s="3">
        <v>1.223E-2</v>
      </c>
      <c r="I131" s="7">
        <f t="shared" ref="I131:I173" si="24">YEARFRAC(E131,F131)</f>
        <v>11.236111111111111</v>
      </c>
    </row>
    <row r="132" spans="1:9" x14ac:dyDescent="0.25">
      <c r="A132" s="7" t="s">
        <v>92</v>
      </c>
      <c r="B132" s="1" t="str">
        <f t="shared" si="22"/>
        <v xml:space="preserve">Government of Croatia  </v>
      </c>
      <c r="C132" s="1" t="s">
        <v>133</v>
      </c>
      <c r="D132" s="1" t="s">
        <v>8</v>
      </c>
      <c r="E132" s="6">
        <v>45282</v>
      </c>
      <c r="F132" s="6">
        <v>47740</v>
      </c>
      <c r="G132" s="2">
        <v>74839210</v>
      </c>
      <c r="H132" s="3">
        <v>1.223E-2</v>
      </c>
      <c r="I132" s="7">
        <f t="shared" si="24"/>
        <v>6.7277777777777779</v>
      </c>
    </row>
    <row r="133" spans="1:9" x14ac:dyDescent="0.25">
      <c r="A133" s="7" t="s">
        <v>93</v>
      </c>
      <c r="B133" s="1" t="str">
        <f t="shared" si="22"/>
        <v xml:space="preserve">Government of Serbia  </v>
      </c>
      <c r="C133" s="1" t="s">
        <v>122</v>
      </c>
      <c r="D133" s="1" t="s">
        <v>8</v>
      </c>
      <c r="E133" s="6">
        <v>43961</v>
      </c>
      <c r="F133" s="6">
        <v>47151</v>
      </c>
      <c r="G133" s="2">
        <v>193847506</v>
      </c>
      <c r="H133" s="3">
        <v>1.223E-2</v>
      </c>
      <c r="I133" s="7">
        <f t="shared" si="24"/>
        <v>8.7277777777777779</v>
      </c>
    </row>
    <row r="134" spans="1:9" x14ac:dyDescent="0.25">
      <c r="A134" s="7" t="s">
        <v>94</v>
      </c>
      <c r="B134" s="1" t="str">
        <f t="shared" si="22"/>
        <v xml:space="preserve">Government of Albania  </v>
      </c>
      <c r="C134" s="1" t="s">
        <v>134</v>
      </c>
      <c r="D134" s="1" t="s">
        <v>8</v>
      </c>
      <c r="E134" s="6">
        <v>45322</v>
      </c>
      <c r="F134" s="6">
        <v>48875</v>
      </c>
      <c r="G134" s="2">
        <v>284759310</v>
      </c>
      <c r="H134" s="3">
        <v>1.223E-2</v>
      </c>
      <c r="I134" s="7">
        <f t="shared" si="24"/>
        <v>9.7305555555555561</v>
      </c>
    </row>
    <row r="135" spans="1:9" x14ac:dyDescent="0.25">
      <c r="A135" s="7" t="s">
        <v>95</v>
      </c>
      <c r="B135" s="1" t="str">
        <f t="shared" si="22"/>
        <v xml:space="preserve">Government of Lithuania  </v>
      </c>
      <c r="C135" s="1" t="s">
        <v>141</v>
      </c>
      <c r="D135" s="1" t="s">
        <v>8</v>
      </c>
      <c r="E135" s="6">
        <v>44789</v>
      </c>
      <c r="F135" s="6">
        <v>47946</v>
      </c>
      <c r="G135" s="2">
        <v>57384902</v>
      </c>
      <c r="H135" s="3">
        <v>1.223E-2</v>
      </c>
      <c r="I135" s="7">
        <f t="shared" si="24"/>
        <v>8.6444444444444439</v>
      </c>
    </row>
    <row r="136" spans="1:9" x14ac:dyDescent="0.25">
      <c r="A136" s="7" t="s">
        <v>96</v>
      </c>
      <c r="B136" s="1" t="str">
        <f t="shared" ref="B136:B139" si="25">"Telecom "&amp;C136</f>
        <v xml:space="preserve">Telecom Latvia  </v>
      </c>
      <c r="C136" s="1" t="s">
        <v>142</v>
      </c>
      <c r="D136" s="1" t="s">
        <v>8</v>
      </c>
      <c r="E136" s="6">
        <v>45716</v>
      </c>
      <c r="F136" s="6">
        <v>49265</v>
      </c>
      <c r="G136" s="2">
        <v>149283706</v>
      </c>
      <c r="H136" s="3">
        <v>1.223E-2</v>
      </c>
      <c r="I136" s="7">
        <f t="shared" si="24"/>
        <v>9.7138888888888886</v>
      </c>
    </row>
    <row r="137" spans="1:9" x14ac:dyDescent="0.25">
      <c r="A137" s="7" t="s">
        <v>97</v>
      </c>
      <c r="B137" s="1" t="str">
        <f t="shared" si="25"/>
        <v xml:space="preserve">Telecom Estonia  </v>
      </c>
      <c r="C137" s="1" t="s">
        <v>143</v>
      </c>
      <c r="D137" s="1" t="s">
        <v>8</v>
      </c>
      <c r="E137" s="6">
        <v>43255</v>
      </c>
      <c r="F137" s="6">
        <v>46604</v>
      </c>
      <c r="G137" s="2">
        <v>230948765</v>
      </c>
      <c r="H137" s="3">
        <v>1.223E-2</v>
      </c>
      <c r="I137" s="7">
        <f t="shared" si="24"/>
        <v>9.1694444444444443</v>
      </c>
    </row>
    <row r="138" spans="1:9" x14ac:dyDescent="0.25">
      <c r="A138" s="7" t="s">
        <v>98</v>
      </c>
      <c r="B138" s="1" t="str">
        <f t="shared" si="25"/>
        <v xml:space="preserve">Telecom Kosovo  </v>
      </c>
      <c r="C138" s="1" t="s">
        <v>144</v>
      </c>
      <c r="D138" s="1" t="s">
        <v>8</v>
      </c>
      <c r="E138" s="6">
        <v>44452</v>
      </c>
      <c r="F138" s="6">
        <v>47504</v>
      </c>
      <c r="G138" s="2">
        <v>67483902</v>
      </c>
      <c r="H138" s="3">
        <v>1.223E-2</v>
      </c>
      <c r="I138" s="7">
        <f t="shared" si="24"/>
        <v>8.3555555555555561</v>
      </c>
    </row>
    <row r="139" spans="1:9" x14ac:dyDescent="0.25">
      <c r="A139" s="8" t="s">
        <v>99</v>
      </c>
      <c r="B139" s="1" t="str">
        <f t="shared" si="25"/>
        <v xml:space="preserve">Telecom Montenegro  </v>
      </c>
      <c r="C139" s="1" t="s">
        <v>145</v>
      </c>
      <c r="D139" s="1" t="s">
        <v>8</v>
      </c>
      <c r="E139" s="6">
        <v>44951</v>
      </c>
      <c r="F139" s="6">
        <v>48487</v>
      </c>
      <c r="G139" s="2">
        <v>198374520</v>
      </c>
      <c r="H139" s="3">
        <v>1.223E-2</v>
      </c>
      <c r="I139" s="7">
        <f t="shared" si="24"/>
        <v>9.6805555555555554</v>
      </c>
    </row>
    <row r="140" spans="1:9" x14ac:dyDescent="0.25">
      <c r="A140" s="8" t="s">
        <v>99</v>
      </c>
      <c r="B140" s="1" t="str">
        <f t="shared" ref="B140:B168" si="26">"Government of "&amp;C140</f>
        <v xml:space="preserve">Government of Moldova  </v>
      </c>
      <c r="C140" s="1" t="s">
        <v>146</v>
      </c>
      <c r="D140" s="1" t="s">
        <v>8</v>
      </c>
      <c r="E140" s="6">
        <v>44951</v>
      </c>
      <c r="F140" s="6">
        <v>48487</v>
      </c>
      <c r="G140" s="2">
        <v>259384710</v>
      </c>
      <c r="H140" s="3">
        <v>1.223E-2</v>
      </c>
      <c r="I140" s="7">
        <f t="shared" si="24"/>
        <v>9.6805555555555554</v>
      </c>
    </row>
    <row r="141" spans="1:9" x14ac:dyDescent="0.25">
      <c r="A141" s="8" t="s">
        <v>99</v>
      </c>
      <c r="B141" s="1" t="str">
        <f t="shared" si="26"/>
        <v xml:space="preserve">Government of Georgia  </v>
      </c>
      <c r="C141" s="1" t="s">
        <v>147</v>
      </c>
      <c r="D141" s="1" t="s">
        <v>8</v>
      </c>
      <c r="E141" s="6">
        <v>44951</v>
      </c>
      <c r="F141" s="6">
        <v>48487</v>
      </c>
      <c r="G141" s="2">
        <v>38475092</v>
      </c>
      <c r="H141" s="3">
        <v>1.223E-2</v>
      </c>
      <c r="I141" s="7">
        <f t="shared" si="24"/>
        <v>9.6805555555555554</v>
      </c>
    </row>
    <row r="142" spans="1:9" x14ac:dyDescent="0.25">
      <c r="A142" s="8" t="s">
        <v>99</v>
      </c>
      <c r="B142" s="1" t="str">
        <f t="shared" si="26"/>
        <v xml:space="preserve">Government of Armenia  </v>
      </c>
      <c r="C142" s="1" t="s">
        <v>148</v>
      </c>
      <c r="D142" s="1" t="s">
        <v>8</v>
      </c>
      <c r="E142" s="6">
        <v>44951</v>
      </c>
      <c r="F142" s="6">
        <v>48487</v>
      </c>
      <c r="G142" s="2">
        <v>94837250</v>
      </c>
      <c r="H142" s="3">
        <v>1.223E-2</v>
      </c>
      <c r="I142" s="7">
        <f t="shared" si="24"/>
        <v>9.6805555555555554</v>
      </c>
    </row>
    <row r="143" spans="1:9" x14ac:dyDescent="0.25">
      <c r="A143" s="8" t="s">
        <v>99</v>
      </c>
      <c r="B143" s="1" t="str">
        <f t="shared" si="26"/>
        <v xml:space="preserve">Government of Azerbaijan  </v>
      </c>
      <c r="C143" s="1" t="s">
        <v>149</v>
      </c>
      <c r="D143" s="1" t="s">
        <v>8</v>
      </c>
      <c r="E143" s="6">
        <v>44951</v>
      </c>
      <c r="F143" s="6">
        <v>48487</v>
      </c>
      <c r="G143" s="2">
        <v>167394802</v>
      </c>
      <c r="H143" s="3">
        <v>1.223E-2</v>
      </c>
      <c r="I143" s="7">
        <f t="shared" si="24"/>
        <v>9.6805555555555554</v>
      </c>
    </row>
    <row r="144" spans="1:9" x14ac:dyDescent="0.25">
      <c r="A144" s="8" t="s">
        <v>99</v>
      </c>
      <c r="B144" s="1" t="str">
        <f t="shared" si="26"/>
        <v xml:space="preserve">Government of Bosnia and Herzegovina  </v>
      </c>
      <c r="C144" s="1" t="s">
        <v>137</v>
      </c>
      <c r="D144" s="1" t="s">
        <v>8</v>
      </c>
      <c r="E144" s="6">
        <v>44951</v>
      </c>
      <c r="F144" s="6">
        <v>48487</v>
      </c>
      <c r="G144" s="2">
        <v>283947506</v>
      </c>
      <c r="H144" s="3">
        <v>1.223E-2</v>
      </c>
      <c r="I144" s="7">
        <f t="shared" si="24"/>
        <v>9.6805555555555554</v>
      </c>
    </row>
    <row r="145" spans="1:9" x14ac:dyDescent="0.25">
      <c r="A145" s="8" t="s">
        <v>99</v>
      </c>
      <c r="B145" s="1" t="str">
        <f t="shared" si="26"/>
        <v xml:space="preserve">Government of North Macedonia  </v>
      </c>
      <c r="C145" s="1" t="s">
        <v>138</v>
      </c>
      <c r="D145" s="1" t="s">
        <v>8</v>
      </c>
      <c r="E145" s="6">
        <v>44951</v>
      </c>
      <c r="F145" s="6">
        <v>48487</v>
      </c>
      <c r="G145" s="2">
        <v>54930278</v>
      </c>
      <c r="H145" s="3">
        <v>1.223E-2</v>
      </c>
      <c r="I145" s="7">
        <f t="shared" si="24"/>
        <v>9.6805555555555554</v>
      </c>
    </row>
    <row r="146" spans="1:9" x14ac:dyDescent="0.25">
      <c r="A146" s="8" t="s">
        <v>99</v>
      </c>
      <c r="B146" s="1" t="str">
        <f t="shared" si="26"/>
        <v xml:space="preserve">Government of Poland  </v>
      </c>
      <c r="C146" s="1" t="s">
        <v>119</v>
      </c>
      <c r="D146" s="1" t="s">
        <v>8</v>
      </c>
      <c r="E146" s="6">
        <v>44951</v>
      </c>
      <c r="F146" s="6">
        <v>48487</v>
      </c>
      <c r="G146" s="2">
        <v>209384705</v>
      </c>
      <c r="H146" s="3">
        <v>1.223E-2</v>
      </c>
      <c r="I146" s="7">
        <f t="shared" si="24"/>
        <v>9.6805555555555554</v>
      </c>
    </row>
    <row r="147" spans="1:9" x14ac:dyDescent="0.25">
      <c r="A147" s="7" t="s">
        <v>100</v>
      </c>
      <c r="B147" s="1" t="str">
        <f t="shared" si="26"/>
        <v xml:space="preserve">Government of Romania  </v>
      </c>
      <c r="C147" s="1" t="s">
        <v>120</v>
      </c>
      <c r="D147" s="1" t="s">
        <v>8</v>
      </c>
      <c r="E147" s="6">
        <v>43901</v>
      </c>
      <c r="F147" s="6">
        <v>48858</v>
      </c>
      <c r="G147" s="2">
        <v>174839206</v>
      </c>
      <c r="H147" s="3">
        <v>1.223E-2</v>
      </c>
      <c r="I147" s="7">
        <f t="shared" si="24"/>
        <v>13.569444444444445</v>
      </c>
    </row>
    <row r="148" spans="1:9" x14ac:dyDescent="0.25">
      <c r="A148" s="7" t="s">
        <v>101</v>
      </c>
      <c r="B148" s="1" t="str">
        <f t="shared" si="26"/>
        <v xml:space="preserve">Government of Hungary  </v>
      </c>
      <c r="C148" s="1" t="s">
        <v>125</v>
      </c>
      <c r="D148" s="1" t="s">
        <v>8</v>
      </c>
      <c r="E148" s="6">
        <v>45470</v>
      </c>
      <c r="F148" s="6">
        <v>46416</v>
      </c>
      <c r="G148" s="2">
        <v>294857302</v>
      </c>
      <c r="H148" s="3">
        <v>1.223E-2</v>
      </c>
      <c r="I148" s="7">
        <f t="shared" si="24"/>
        <v>2.588888888888889</v>
      </c>
    </row>
    <row r="149" spans="1:9" x14ac:dyDescent="0.25">
      <c r="A149" s="7" t="s">
        <v>102</v>
      </c>
      <c r="B149" s="1" t="str">
        <f t="shared" si="26"/>
        <v xml:space="preserve">Government of Bulgaria  </v>
      </c>
      <c r="C149" s="1" t="s">
        <v>126</v>
      </c>
      <c r="D149" s="1" t="s">
        <v>8</v>
      </c>
      <c r="E149" s="6">
        <v>44913</v>
      </c>
      <c r="F149" s="6">
        <v>48439</v>
      </c>
      <c r="G149" s="2">
        <v>68394705</v>
      </c>
      <c r="H149" s="3">
        <v>1.223E-2</v>
      </c>
      <c r="I149" s="7">
        <f t="shared" si="24"/>
        <v>9.6527777777777786</v>
      </c>
    </row>
    <row r="150" spans="1:9" x14ac:dyDescent="0.25">
      <c r="A150" s="7" t="s">
        <v>103</v>
      </c>
      <c r="B150" s="1" t="str">
        <f t="shared" si="26"/>
        <v xml:space="preserve">Government of Czechia  </v>
      </c>
      <c r="C150" s="1" t="s">
        <v>129</v>
      </c>
      <c r="D150" s="1" t="s">
        <v>8</v>
      </c>
      <c r="E150" s="6">
        <v>44386</v>
      </c>
      <c r="F150" s="6">
        <v>49023</v>
      </c>
      <c r="G150" s="2">
        <v>120394865</v>
      </c>
      <c r="H150" s="3">
        <v>1.223E-2</v>
      </c>
      <c r="I150" s="7">
        <f t="shared" si="24"/>
        <v>12.697222222222223</v>
      </c>
    </row>
    <row r="151" spans="1:9" x14ac:dyDescent="0.25">
      <c r="A151" s="7" t="s">
        <v>104</v>
      </c>
      <c r="B151" s="1" t="str">
        <f t="shared" si="26"/>
        <v xml:space="preserve">Government of Slovakia  </v>
      </c>
      <c r="C151" s="1" t="s">
        <v>130</v>
      </c>
      <c r="D151" s="1" t="s">
        <v>8</v>
      </c>
      <c r="E151" s="6">
        <v>45681</v>
      </c>
      <c r="F151" s="6">
        <v>48030</v>
      </c>
      <c r="G151" s="2">
        <v>257394850</v>
      </c>
      <c r="H151" s="3">
        <v>1.223E-2</v>
      </c>
      <c r="I151" s="7">
        <f t="shared" si="24"/>
        <v>6.4361111111111109</v>
      </c>
    </row>
    <row r="152" spans="1:9" x14ac:dyDescent="0.25">
      <c r="A152" s="7" t="s">
        <v>105</v>
      </c>
      <c r="B152" s="1" t="str">
        <f t="shared" si="26"/>
        <v xml:space="preserve">Government of Serbia  </v>
      </c>
      <c r="C152" s="1" t="s">
        <v>122</v>
      </c>
      <c r="D152" s="1" t="s">
        <v>8</v>
      </c>
      <c r="E152" s="6">
        <v>45021</v>
      </c>
      <c r="F152" s="6">
        <v>47615</v>
      </c>
      <c r="G152" s="2">
        <v>87349520</v>
      </c>
      <c r="H152" s="3">
        <v>1.223E-2</v>
      </c>
      <c r="I152" s="7">
        <f t="shared" si="24"/>
        <v>7.1027777777777779</v>
      </c>
    </row>
    <row r="153" spans="1:9" x14ac:dyDescent="0.25">
      <c r="A153" s="7" t="s">
        <v>106</v>
      </c>
      <c r="B153" s="1" t="str">
        <f t="shared" ref="B153:B157" si="27">"Utility of "&amp;C153</f>
        <v xml:space="preserve">Utility of Croatia  </v>
      </c>
      <c r="C153" s="1" t="s">
        <v>133</v>
      </c>
      <c r="D153" s="1" t="s">
        <v>8</v>
      </c>
      <c r="E153" s="6">
        <v>44149</v>
      </c>
      <c r="F153" s="6">
        <v>48850</v>
      </c>
      <c r="G153" s="2">
        <v>139284750</v>
      </c>
      <c r="H153" s="3">
        <v>1.223E-2</v>
      </c>
      <c r="I153" s="7">
        <f t="shared" si="24"/>
        <v>12.872222222222222</v>
      </c>
    </row>
    <row r="154" spans="1:9" x14ac:dyDescent="0.25">
      <c r="A154" s="7" t="s">
        <v>107</v>
      </c>
      <c r="B154" s="1" t="str">
        <f t="shared" si="27"/>
        <v xml:space="preserve">Utility of Albania  </v>
      </c>
      <c r="C154" s="1" t="s">
        <v>134</v>
      </c>
      <c r="D154" s="1" t="s">
        <v>8</v>
      </c>
      <c r="E154" s="6">
        <v>44773</v>
      </c>
      <c r="F154" s="6">
        <v>48564</v>
      </c>
      <c r="G154" s="2">
        <v>298374650</v>
      </c>
      <c r="H154" s="3">
        <v>1.223E-2</v>
      </c>
      <c r="I154" s="7">
        <f t="shared" si="24"/>
        <v>10.377777777777778</v>
      </c>
    </row>
    <row r="155" spans="1:9" x14ac:dyDescent="0.25">
      <c r="A155" s="7" t="s">
        <v>108</v>
      </c>
      <c r="B155" s="1" t="str">
        <f t="shared" si="27"/>
        <v xml:space="preserve">Utility of Lithuania  </v>
      </c>
      <c r="C155" s="1" t="s">
        <v>141</v>
      </c>
      <c r="D155" s="1" t="s">
        <v>8</v>
      </c>
      <c r="E155" s="6">
        <v>45394</v>
      </c>
      <c r="F155" s="6">
        <v>46816</v>
      </c>
      <c r="G155" s="2">
        <v>54783920</v>
      </c>
      <c r="H155" s="3">
        <v>1.223E-2</v>
      </c>
      <c r="I155" s="7">
        <f t="shared" si="24"/>
        <v>3.8944444444444444</v>
      </c>
    </row>
    <row r="156" spans="1:9" x14ac:dyDescent="0.25">
      <c r="A156" s="7" t="s">
        <v>109</v>
      </c>
      <c r="B156" s="1" t="str">
        <f t="shared" si="27"/>
        <v xml:space="preserve">Utility of Latvia  </v>
      </c>
      <c r="C156" s="1" t="s">
        <v>142</v>
      </c>
      <c r="D156" s="1" t="s">
        <v>8</v>
      </c>
      <c r="E156" s="6">
        <v>44250</v>
      </c>
      <c r="F156" s="6">
        <v>49239</v>
      </c>
      <c r="G156" s="2">
        <v>183947205</v>
      </c>
      <c r="H156" s="3">
        <v>1.223E-2</v>
      </c>
      <c r="I156" s="7">
        <f t="shared" si="24"/>
        <v>13.66388888888889</v>
      </c>
    </row>
    <row r="157" spans="1:9" x14ac:dyDescent="0.25">
      <c r="A157" s="7" t="s">
        <v>110</v>
      </c>
      <c r="B157" s="1" t="str">
        <f t="shared" si="27"/>
        <v xml:space="preserve">Utility of Estonia  </v>
      </c>
      <c r="C157" s="1" t="s">
        <v>143</v>
      </c>
      <c r="D157" s="1" t="s">
        <v>8</v>
      </c>
      <c r="E157" s="6">
        <v>45907</v>
      </c>
      <c r="F157" s="6">
        <v>48311</v>
      </c>
      <c r="G157" s="2">
        <v>264839705</v>
      </c>
      <c r="H157" s="3">
        <v>1.223E-2</v>
      </c>
      <c r="I157" s="7">
        <f t="shared" si="24"/>
        <v>6.583333333333333</v>
      </c>
    </row>
    <row r="158" spans="1:9" x14ac:dyDescent="0.25">
      <c r="A158" s="7" t="s">
        <v>111</v>
      </c>
      <c r="B158" s="1" t="str">
        <f t="shared" si="26"/>
        <v xml:space="preserve">Government of Kosovo  </v>
      </c>
      <c r="C158" s="1" t="s">
        <v>144</v>
      </c>
      <c r="D158" s="1" t="s">
        <v>8</v>
      </c>
      <c r="E158" s="6">
        <v>43916</v>
      </c>
      <c r="F158" s="6">
        <v>47873</v>
      </c>
      <c r="G158" s="2">
        <v>73948520</v>
      </c>
      <c r="H158" s="3">
        <v>1.223E-2</v>
      </c>
      <c r="I158" s="7">
        <f t="shared" si="24"/>
        <v>10.830555555555556</v>
      </c>
    </row>
    <row r="159" spans="1:9" x14ac:dyDescent="0.25">
      <c r="A159" s="7" t="s">
        <v>112</v>
      </c>
      <c r="B159" s="1" t="str">
        <f t="shared" si="26"/>
        <v xml:space="preserve">Government of Montenegro  </v>
      </c>
      <c r="C159" s="1" t="s">
        <v>145</v>
      </c>
      <c r="D159" s="1" t="s">
        <v>8</v>
      </c>
      <c r="E159" s="6">
        <v>45270</v>
      </c>
      <c r="F159" s="6">
        <v>47736</v>
      </c>
      <c r="G159" s="2">
        <v>194857302</v>
      </c>
      <c r="H159" s="3">
        <v>1.223E-2</v>
      </c>
      <c r="I159" s="7">
        <f t="shared" si="24"/>
        <v>6.75</v>
      </c>
    </row>
    <row r="160" spans="1:9" x14ac:dyDescent="0.25">
      <c r="A160" s="7" t="s">
        <v>113</v>
      </c>
      <c r="B160" s="1" t="str">
        <f t="shared" si="26"/>
        <v xml:space="preserve">Government of Moldova  </v>
      </c>
      <c r="C160" s="1" t="s">
        <v>146</v>
      </c>
      <c r="D160" s="1" t="s">
        <v>8</v>
      </c>
      <c r="E160" s="6">
        <v>44580</v>
      </c>
      <c r="F160" s="6">
        <v>49175</v>
      </c>
      <c r="G160" s="2">
        <v>58203947</v>
      </c>
      <c r="H160" s="3">
        <v>1.223E-2</v>
      </c>
      <c r="I160" s="7">
        <f t="shared" si="24"/>
        <v>12.583333333333334</v>
      </c>
    </row>
    <row r="161" spans="1:9" x14ac:dyDescent="0.25">
      <c r="A161" s="7" t="s">
        <v>114</v>
      </c>
      <c r="B161" s="1" t="str">
        <f t="shared" si="26"/>
        <v xml:space="preserve">Government of Georgia  </v>
      </c>
      <c r="C161" s="1" t="s">
        <v>147</v>
      </c>
      <c r="D161" s="1" t="s">
        <v>8</v>
      </c>
      <c r="E161" s="6">
        <v>45836</v>
      </c>
      <c r="F161" s="6">
        <v>48730</v>
      </c>
      <c r="G161" s="2">
        <v>239485760</v>
      </c>
      <c r="H161" s="3">
        <v>1.223E-2</v>
      </c>
      <c r="I161" s="7">
        <f t="shared" si="24"/>
        <v>7.9249999999999998</v>
      </c>
    </row>
    <row r="162" spans="1:9" x14ac:dyDescent="0.25">
      <c r="A162" s="7" t="s">
        <v>115</v>
      </c>
      <c r="B162" s="1" t="str">
        <f t="shared" si="26"/>
        <v xml:space="preserve">Government of Armenia  </v>
      </c>
      <c r="C162" s="1" t="s">
        <v>148</v>
      </c>
      <c r="D162" s="1" t="s">
        <v>8</v>
      </c>
      <c r="E162" s="6">
        <v>43588</v>
      </c>
      <c r="F162" s="6">
        <v>47301</v>
      </c>
      <c r="G162" s="2">
        <v>168394205</v>
      </c>
      <c r="H162" s="3">
        <v>1.223E-2</v>
      </c>
      <c r="I162" s="7">
        <f t="shared" si="24"/>
        <v>10.16388888888889</v>
      </c>
    </row>
    <row r="163" spans="1:9" x14ac:dyDescent="0.25">
      <c r="A163" s="7" t="s">
        <v>116</v>
      </c>
      <c r="B163" s="1" t="str">
        <f t="shared" si="26"/>
        <v xml:space="preserve">Government of Azerbaijan  </v>
      </c>
      <c r="C163" s="1" t="s">
        <v>149</v>
      </c>
      <c r="D163" s="1" t="s">
        <v>8</v>
      </c>
      <c r="E163" s="6">
        <v>45582</v>
      </c>
      <c r="F163" s="6">
        <v>49017</v>
      </c>
      <c r="G163" s="2">
        <v>297384650</v>
      </c>
      <c r="H163" s="3">
        <v>1.223E-2</v>
      </c>
      <c r="I163" s="7">
        <f t="shared" si="24"/>
        <v>9.4083333333333332</v>
      </c>
    </row>
    <row r="164" spans="1:9" x14ac:dyDescent="0.25">
      <c r="A164" s="8" t="s">
        <v>117</v>
      </c>
      <c r="B164" s="1" t="str">
        <f t="shared" si="26"/>
        <v xml:space="preserve">Government of Brazil  </v>
      </c>
      <c r="C164" s="1" t="s">
        <v>190</v>
      </c>
      <c r="D164" s="1" t="s">
        <v>8</v>
      </c>
      <c r="E164" s="6">
        <v>44447</v>
      </c>
      <c r="F164" s="6">
        <v>48160</v>
      </c>
      <c r="G164" s="2">
        <v>64839205</v>
      </c>
      <c r="H164" s="3">
        <v>1.223E-2</v>
      </c>
      <c r="I164" s="7">
        <f t="shared" si="24"/>
        <v>10.166666666666666</v>
      </c>
    </row>
    <row r="165" spans="1:9" x14ac:dyDescent="0.25">
      <c r="A165" s="8" t="s">
        <v>117</v>
      </c>
      <c r="B165" s="1" t="str">
        <f t="shared" si="26"/>
        <v xml:space="preserve">Government of Mexico  </v>
      </c>
      <c r="C165" s="1" t="s">
        <v>191</v>
      </c>
      <c r="D165" s="1" t="s">
        <v>8</v>
      </c>
      <c r="E165" s="6">
        <v>44447</v>
      </c>
      <c r="F165" s="6">
        <v>48160</v>
      </c>
      <c r="G165" s="2">
        <v>120394857</v>
      </c>
      <c r="H165" s="3">
        <v>1.223E-2</v>
      </c>
      <c r="I165" s="7">
        <f t="shared" si="24"/>
        <v>10.166666666666666</v>
      </c>
    </row>
    <row r="166" spans="1:9" x14ac:dyDescent="0.25">
      <c r="A166" s="8" t="s">
        <v>117</v>
      </c>
      <c r="B166" s="1" t="str">
        <f t="shared" si="26"/>
        <v xml:space="preserve">Government of Argentina  </v>
      </c>
      <c r="C166" s="1" t="s">
        <v>192</v>
      </c>
      <c r="D166" s="1" t="s">
        <v>8</v>
      </c>
      <c r="E166" s="6">
        <v>44447</v>
      </c>
      <c r="F166" s="6">
        <v>48160</v>
      </c>
      <c r="G166" s="2">
        <v>257394801</v>
      </c>
      <c r="H166" s="3">
        <v>1.223E-2</v>
      </c>
      <c r="I166" s="7">
        <f t="shared" si="24"/>
        <v>10.166666666666666</v>
      </c>
    </row>
    <row r="167" spans="1:9" x14ac:dyDescent="0.25">
      <c r="A167" s="8" t="s">
        <v>117</v>
      </c>
      <c r="B167" s="1" t="str">
        <f t="shared" si="26"/>
        <v xml:space="preserve">Government of Colombia  </v>
      </c>
      <c r="C167" s="1" t="s">
        <v>193</v>
      </c>
      <c r="D167" s="1" t="s">
        <v>8</v>
      </c>
      <c r="E167" s="6">
        <v>44447</v>
      </c>
      <c r="F167" s="6">
        <v>48160</v>
      </c>
      <c r="G167" s="2">
        <v>98347520</v>
      </c>
      <c r="H167" s="3">
        <v>1.223E-2</v>
      </c>
      <c r="I167" s="7">
        <f t="shared" si="24"/>
        <v>10.166666666666666</v>
      </c>
    </row>
    <row r="168" spans="1:9" x14ac:dyDescent="0.25">
      <c r="A168" s="8" t="s">
        <v>117</v>
      </c>
      <c r="B168" s="1" t="str">
        <f t="shared" si="26"/>
        <v xml:space="preserve">Government of Peru  </v>
      </c>
      <c r="C168" s="1" t="s">
        <v>194</v>
      </c>
      <c r="D168" s="1" t="s">
        <v>8</v>
      </c>
      <c r="E168" s="6">
        <v>44447</v>
      </c>
      <c r="F168" s="6">
        <v>48160</v>
      </c>
      <c r="G168" s="2">
        <v>139847502</v>
      </c>
      <c r="H168" s="3">
        <v>1.223E-2</v>
      </c>
      <c r="I168" s="7">
        <f t="shared" si="24"/>
        <v>10.166666666666666</v>
      </c>
    </row>
    <row r="169" spans="1:9" x14ac:dyDescent="0.25">
      <c r="A169" s="8" t="s">
        <v>117</v>
      </c>
      <c r="B169" s="1" t="str">
        <f t="shared" ref="B169:B171" si="28">"Utility of "&amp;C169</f>
        <v xml:space="preserve">Utility of India  </v>
      </c>
      <c r="C169" s="1" t="s">
        <v>195</v>
      </c>
      <c r="D169" s="1" t="s">
        <v>8</v>
      </c>
      <c r="E169" s="6">
        <v>44447</v>
      </c>
      <c r="F169" s="6">
        <v>48160</v>
      </c>
      <c r="G169" s="2">
        <v>264839750</v>
      </c>
      <c r="H169" s="3">
        <v>1.223E-2</v>
      </c>
      <c r="I169" s="7">
        <f t="shared" si="24"/>
        <v>10.166666666666666</v>
      </c>
    </row>
    <row r="170" spans="1:9" x14ac:dyDescent="0.25">
      <c r="A170" s="8" t="s">
        <v>117</v>
      </c>
      <c r="B170" s="1" t="str">
        <f t="shared" si="28"/>
        <v xml:space="preserve">Utility of China  </v>
      </c>
      <c r="C170" s="1" t="s">
        <v>196</v>
      </c>
      <c r="D170" s="1" t="s">
        <v>8</v>
      </c>
      <c r="E170" s="6">
        <v>44447</v>
      </c>
      <c r="F170" s="6">
        <v>48160</v>
      </c>
      <c r="G170" s="2">
        <v>74839201</v>
      </c>
      <c r="H170" s="3">
        <v>1.223E-2</v>
      </c>
      <c r="I170" s="7">
        <f t="shared" si="24"/>
        <v>10.166666666666666</v>
      </c>
    </row>
    <row r="171" spans="1:9" x14ac:dyDescent="0.25">
      <c r="A171" s="8" t="s">
        <v>117</v>
      </c>
      <c r="B171" s="1" t="str">
        <f t="shared" si="28"/>
        <v xml:space="preserve">Utility of Indonesia  </v>
      </c>
      <c r="C171" s="1" t="s">
        <v>197</v>
      </c>
      <c r="D171" s="1" t="s">
        <v>8</v>
      </c>
      <c r="E171" s="6">
        <v>44447</v>
      </c>
      <c r="F171" s="6">
        <v>48160</v>
      </c>
      <c r="G171" s="2">
        <v>193847560</v>
      </c>
      <c r="H171" s="3">
        <v>1.223E-2</v>
      </c>
      <c r="I171" s="7">
        <f t="shared" si="24"/>
        <v>10.166666666666666</v>
      </c>
    </row>
    <row r="172" spans="1:9" x14ac:dyDescent="0.25">
      <c r="A172" s="8" t="s">
        <v>117</v>
      </c>
      <c r="B172" s="1" t="str">
        <f t="shared" ref="B172:B173" si="29">"Telecom "&amp;C172</f>
        <v xml:space="preserve">Telecom Thailand  </v>
      </c>
      <c r="C172" s="1" t="s">
        <v>198</v>
      </c>
      <c r="D172" s="1" t="s">
        <v>8</v>
      </c>
      <c r="E172" s="6">
        <v>44447</v>
      </c>
      <c r="F172" s="6">
        <v>48160</v>
      </c>
      <c r="G172" s="2">
        <v>284759301</v>
      </c>
      <c r="H172" s="3">
        <v>1.223E-2</v>
      </c>
      <c r="I172" s="7">
        <f t="shared" si="24"/>
        <v>10.166666666666666</v>
      </c>
    </row>
    <row r="173" spans="1:9" x14ac:dyDescent="0.25">
      <c r="A173" s="8" t="s">
        <v>117</v>
      </c>
      <c r="B173" s="1" t="str">
        <f t="shared" si="29"/>
        <v xml:space="preserve">Telecom Vietnam  </v>
      </c>
      <c r="C173" s="1" t="s">
        <v>199</v>
      </c>
      <c r="D173" s="1" t="s">
        <v>8</v>
      </c>
      <c r="E173" s="6">
        <v>44447</v>
      </c>
      <c r="F173" s="6">
        <v>48160</v>
      </c>
      <c r="G173" s="2">
        <v>57384920</v>
      </c>
      <c r="H173" s="3">
        <v>1.223E-2</v>
      </c>
      <c r="I173" s="7">
        <f t="shared" si="24"/>
        <v>10.166666666666666</v>
      </c>
    </row>
    <row r="174" spans="1:9" x14ac:dyDescent="0.25">
      <c r="G174" s="4"/>
    </row>
    <row r="175" spans="1:9" x14ac:dyDescent="0.25">
      <c r="G175" s="4"/>
    </row>
    <row r="176" spans="1:9" x14ac:dyDescent="0.25">
      <c r="G176" s="4"/>
    </row>
    <row r="177" spans="7:7" x14ac:dyDescent="0.25">
      <c r="G177" s="4"/>
    </row>
    <row r="178" spans="7:7" x14ac:dyDescent="0.25">
      <c r="G178" s="4"/>
    </row>
    <row r="179" spans="7:7" x14ac:dyDescent="0.25">
      <c r="G179" s="4"/>
    </row>
    <row r="180" spans="7:7" x14ac:dyDescent="0.25">
      <c r="G180" s="4"/>
    </row>
    <row r="181" spans="7:7" x14ac:dyDescent="0.25">
      <c r="G181" s="4"/>
    </row>
    <row r="182" spans="7:7" x14ac:dyDescent="0.25">
      <c r="G182" s="4"/>
    </row>
    <row r="183" spans="7:7" x14ac:dyDescent="0.25">
      <c r="G183" s="4"/>
    </row>
    <row r="184" spans="7:7" x14ac:dyDescent="0.25">
      <c r="G184" s="4"/>
    </row>
    <row r="185" spans="7:7" x14ac:dyDescent="0.25">
      <c r="G185" s="4"/>
    </row>
    <row r="186" spans="7:7" x14ac:dyDescent="0.25">
      <c r="G186" s="4"/>
    </row>
    <row r="187" spans="7:7" x14ac:dyDescent="0.25">
      <c r="G18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Till Küstahler</dc:creator>
  <cp:lastModifiedBy>Till Küstahler</cp:lastModifiedBy>
  <dcterms:created xsi:type="dcterms:W3CDTF">2015-06-05T18:17:20Z</dcterms:created>
  <dcterms:modified xsi:type="dcterms:W3CDTF">2026-02-23T12:12:34Z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c2fedb-0da6-4717-8531-d16a1b9930f4_Enabled">
    <vt:lpwstr>true</vt:lpwstr>
  </property>
  <property fmtid="{D5CDD505-2E9C-101B-9397-08002B2CF9AE}" pid="3" name="MSIP_Label_90c2fedb-0da6-4717-8531-d16a1b9930f4_SetDate">
    <vt:lpwstr>2026-02-23T08:47:43Z</vt:lpwstr>
  </property>
  <property fmtid="{D5CDD505-2E9C-101B-9397-08002B2CF9AE}" pid="4" name="MSIP_Label_90c2fedb-0da6-4717-8531-d16a1b9930f4_Method">
    <vt:lpwstr>Standard</vt:lpwstr>
  </property>
  <property fmtid="{D5CDD505-2E9C-101B-9397-08002B2CF9AE}" pid="5" name="MSIP_Label_90c2fedb-0da6-4717-8531-d16a1b9930f4_Name">
    <vt:lpwstr>90c2fedb-0da6-4717-8531-d16a1b9930f4</vt:lpwstr>
  </property>
  <property fmtid="{D5CDD505-2E9C-101B-9397-08002B2CF9AE}" pid="6" name="MSIP_Label_90c2fedb-0da6-4717-8531-d16a1b9930f4_SiteId">
    <vt:lpwstr>45597f60-6e37-4be7-acfb-4c9e23b261ea</vt:lpwstr>
  </property>
  <property fmtid="{D5CDD505-2E9C-101B-9397-08002B2CF9AE}" pid="7" name="MSIP_Label_90c2fedb-0da6-4717-8531-d16a1b9930f4_ActionId">
    <vt:lpwstr>d53628d4-c55d-44e9-9b13-da56a6a0a6dc</vt:lpwstr>
  </property>
  <property fmtid="{D5CDD505-2E9C-101B-9397-08002B2CF9AE}" pid="8" name="MSIP_Label_90c2fedb-0da6-4717-8531-d16a1b9930f4_ContentBits">
    <vt:lpwstr>0</vt:lpwstr>
  </property>
  <property fmtid="{D5CDD505-2E9C-101B-9397-08002B2CF9AE}" pid="9" name="MSIP_Label_90c2fedb-0da6-4717-8531-d16a1b9930f4_Tag">
    <vt:lpwstr>10, 3, 0, 1</vt:lpwstr>
  </property>
  <property fmtid="{D5CDD505-2E9C-101B-9397-08002B2CF9AE}" pid="10" name="{A44787D4-0540-4523-9961-78E4036D8C6D}">
    <vt:lpwstr>{F5832512-7055-4F8A-9F80-8C54F024019C}</vt:lpwstr>
  </property>
</Properties>
</file>